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nnectpolyu-my.sharepoint.com/personal/23036432r_connect_polyu_hk/Documents/桌面/Git hub/Research method HW5/"/>
    </mc:Choice>
  </mc:AlternateContent>
  <xr:revisionPtr revIDLastSave="8" documentId="13_ncr:1_{7A59C72D-4525-48D3-AA07-92F405E4E022}" xr6:coauthVersionLast="47" xr6:coauthVersionMax="47" xr10:uidLastSave="{BB4E7F0E-5F4D-45D7-AAA8-CD7AD12CD314}"/>
  <bookViews>
    <workbookView xWindow="-120" yWindow="-120" windowWidth="38640" windowHeight="21120" firstSheet="2" activeTab="3" xr2:uid="{00000000-000D-0000-FFFF-FFFF00000000}"/>
  </bookViews>
  <sheets>
    <sheet name="Sheet1" sheetId="13" state="hidden" r:id="rId1"/>
    <sheet name="Sheet1 (2)" sheetId="15" state="hidden" r:id="rId2"/>
    <sheet name="Sheet2 (2)" sheetId="16" r:id="rId3"/>
    <sheet name="Sheet2" sheetId="17" r:id="rId4"/>
  </sheets>
  <calcPr calcId="181029"/>
</workbook>
</file>

<file path=xl/calcChain.xml><?xml version="1.0" encoding="utf-8"?>
<calcChain xmlns="http://schemas.openxmlformats.org/spreadsheetml/2006/main">
  <c r="G2" i="17" l="1"/>
  <c r="L2" i="17"/>
  <c r="C3" i="17"/>
  <c r="G3" i="17"/>
  <c r="H3" i="17"/>
  <c r="L3" i="17"/>
  <c r="M3" i="17"/>
  <c r="C4" i="17"/>
  <c r="G4" i="17"/>
  <c r="H4" i="17"/>
  <c r="L4" i="17"/>
  <c r="M4" i="17"/>
  <c r="C5" i="17"/>
  <c r="G5" i="17"/>
  <c r="H5" i="17"/>
  <c r="L5" i="17"/>
  <c r="M5" i="17"/>
  <c r="C6" i="17"/>
  <c r="G6" i="17"/>
  <c r="H6" i="17"/>
  <c r="L6" i="17"/>
  <c r="M6" i="17"/>
  <c r="Y64" i="16"/>
  <c r="R64" i="16"/>
  <c r="J64" i="16"/>
  <c r="Y63" i="16"/>
  <c r="R63" i="16"/>
  <c r="J63" i="16"/>
  <c r="Y62" i="16"/>
  <c r="R62" i="16"/>
  <c r="J62" i="16"/>
  <c r="Y61" i="16"/>
  <c r="R61" i="16"/>
  <c r="J61" i="16"/>
  <c r="Y59" i="16"/>
  <c r="R59" i="16"/>
  <c r="J59" i="16"/>
  <c r="Y58" i="16"/>
  <c r="R58" i="16"/>
  <c r="J58" i="16"/>
  <c r="Y57" i="16"/>
  <c r="R57" i="16"/>
  <c r="J57" i="16"/>
  <c r="Y56" i="16"/>
  <c r="R56" i="16"/>
  <c r="J56" i="16"/>
  <c r="Y54" i="16"/>
  <c r="R54" i="16"/>
  <c r="J54" i="16"/>
  <c r="Y53" i="16"/>
  <c r="R53" i="16"/>
  <c r="J53" i="16"/>
  <c r="Y52" i="16"/>
  <c r="R52" i="16"/>
  <c r="J52" i="16"/>
  <c r="Y51" i="16"/>
  <c r="R51" i="16"/>
  <c r="J51" i="16"/>
  <c r="Y49" i="16"/>
  <c r="R49" i="16"/>
  <c r="J49" i="16"/>
  <c r="Y48" i="16"/>
  <c r="R48" i="16"/>
  <c r="J48" i="16"/>
  <c r="Y47" i="16"/>
  <c r="R47" i="16"/>
  <c r="J47" i="16"/>
  <c r="Y46" i="16"/>
  <c r="R46" i="16"/>
  <c r="J46" i="16"/>
  <c r="Y44" i="16"/>
  <c r="R44" i="16"/>
  <c r="J44" i="16"/>
  <c r="Y43" i="16"/>
  <c r="R43" i="16"/>
  <c r="J43" i="16"/>
  <c r="Y42" i="16"/>
  <c r="R42" i="16"/>
  <c r="J42" i="16"/>
  <c r="Y41" i="16"/>
  <c r="R41" i="16"/>
  <c r="J41" i="16"/>
  <c r="Y39" i="16"/>
  <c r="R39" i="16"/>
  <c r="J39" i="16"/>
  <c r="Y38" i="16"/>
  <c r="R38" i="16"/>
  <c r="J38" i="16"/>
  <c r="Y37" i="16"/>
  <c r="R37" i="16"/>
  <c r="J37" i="16"/>
  <c r="Y36" i="16"/>
  <c r="R36" i="16"/>
  <c r="J36" i="16"/>
  <c r="Z33" i="16"/>
  <c r="AG32" i="16"/>
  <c r="AF32" i="16"/>
  <c r="AE32" i="16"/>
  <c r="AI31" i="16"/>
  <c r="AG31" i="16"/>
  <c r="AF31" i="16"/>
  <c r="AE31" i="16"/>
  <c r="AC31" i="16"/>
  <c r="AB31" i="16"/>
  <c r="AA31" i="16"/>
  <c r="Z31" i="16"/>
  <c r="Y31" i="16"/>
  <c r="X31" i="16"/>
  <c r="V31" i="16"/>
  <c r="U31" i="16"/>
  <c r="T31" i="16"/>
  <c r="S31" i="16"/>
  <c r="R31" i="16"/>
  <c r="Q31" i="16"/>
  <c r="N31" i="16"/>
  <c r="M31" i="16"/>
  <c r="L31" i="16"/>
  <c r="K31" i="16"/>
  <c r="J31" i="16"/>
  <c r="I31" i="16"/>
  <c r="F31" i="16"/>
  <c r="E31" i="16"/>
  <c r="D31" i="16"/>
  <c r="AI30" i="16"/>
  <c r="AG30" i="16"/>
  <c r="AF30" i="16"/>
  <c r="AE30" i="16"/>
  <c r="AC30" i="16"/>
  <c r="AB30" i="16"/>
  <c r="AA30" i="16"/>
  <c r="Z30" i="16"/>
  <c r="Y30" i="16"/>
  <c r="X30" i="16"/>
  <c r="V30" i="16"/>
  <c r="U30" i="16"/>
  <c r="T30" i="16"/>
  <c r="S30" i="16"/>
  <c r="R30" i="16"/>
  <c r="Q30" i="16"/>
  <c r="N30" i="16"/>
  <c r="M30" i="16"/>
  <c r="L30" i="16"/>
  <c r="K30" i="16"/>
  <c r="J30" i="16"/>
  <c r="I30" i="16"/>
  <c r="F30" i="16"/>
  <c r="E30" i="16"/>
  <c r="D30" i="16"/>
  <c r="AI29" i="16"/>
  <c r="AG29" i="16"/>
  <c r="AF29" i="16"/>
  <c r="AE29" i="16"/>
  <c r="AC29" i="16"/>
  <c r="AB29" i="16"/>
  <c r="AA29" i="16"/>
  <c r="Z29" i="16"/>
  <c r="Y29" i="16"/>
  <c r="X29" i="16"/>
  <c r="V29" i="16"/>
  <c r="U29" i="16"/>
  <c r="T29" i="16"/>
  <c r="S29" i="16"/>
  <c r="R29" i="16"/>
  <c r="Q29" i="16"/>
  <c r="N29" i="16"/>
  <c r="M29" i="16"/>
  <c r="L29" i="16"/>
  <c r="K29" i="16"/>
  <c r="J29" i="16"/>
  <c r="I29" i="16"/>
  <c r="F29" i="16"/>
  <c r="E29" i="16"/>
  <c r="D29" i="16"/>
  <c r="AI28" i="16"/>
  <c r="AG28" i="16"/>
  <c r="AF28" i="16"/>
  <c r="AE28" i="16"/>
  <c r="AC28" i="16"/>
  <c r="AB28" i="16"/>
  <c r="AA28" i="16"/>
  <c r="Z28" i="16"/>
  <c r="Y28" i="16"/>
  <c r="X28" i="16"/>
  <c r="V28" i="16"/>
  <c r="U28" i="16"/>
  <c r="T28" i="16"/>
  <c r="S28" i="16"/>
  <c r="R28" i="16"/>
  <c r="Q28" i="16"/>
  <c r="N28" i="16"/>
  <c r="M28" i="16"/>
  <c r="L28" i="16"/>
  <c r="K28" i="16"/>
  <c r="J28" i="16"/>
  <c r="I28" i="16"/>
  <c r="F28" i="16"/>
  <c r="E28" i="16"/>
  <c r="D28" i="16"/>
  <c r="AI27" i="16"/>
  <c r="AG27" i="16"/>
  <c r="AF27" i="16"/>
  <c r="AE27" i="16"/>
  <c r="AC27" i="16"/>
  <c r="AB27" i="16"/>
  <c r="AA27" i="16"/>
  <c r="Z27" i="16"/>
  <c r="Y27" i="16"/>
  <c r="X27" i="16"/>
  <c r="V27" i="16"/>
  <c r="U27" i="16"/>
  <c r="T27" i="16"/>
  <c r="S27" i="16"/>
  <c r="R27" i="16"/>
  <c r="Q27" i="16"/>
  <c r="N27" i="16"/>
  <c r="M27" i="16"/>
  <c r="L27" i="16"/>
  <c r="K27" i="16"/>
  <c r="J27" i="16"/>
  <c r="I27" i="16"/>
  <c r="F27" i="16"/>
  <c r="E27" i="16"/>
  <c r="D27" i="16"/>
  <c r="AI26" i="16"/>
  <c r="AG26" i="16"/>
  <c r="AF26" i="16"/>
  <c r="AE26" i="16"/>
  <c r="AC26" i="16"/>
  <c r="AB26" i="16"/>
  <c r="AA26" i="16"/>
  <c r="Z26" i="16"/>
  <c r="Y26" i="16"/>
  <c r="X26" i="16"/>
  <c r="V26" i="16"/>
  <c r="U26" i="16"/>
  <c r="T26" i="16"/>
  <c r="S26" i="16"/>
  <c r="R26" i="16"/>
  <c r="Q26" i="16"/>
  <c r="N26" i="16"/>
  <c r="M26" i="16"/>
  <c r="L26" i="16"/>
  <c r="K26" i="16"/>
  <c r="J26" i="16"/>
  <c r="I26" i="16"/>
  <c r="F26" i="16"/>
  <c r="E26" i="16"/>
  <c r="D26" i="16"/>
  <c r="AI25" i="16"/>
  <c r="AG25" i="16"/>
  <c r="AF25" i="16"/>
  <c r="AE25" i="16"/>
  <c r="AC25" i="16"/>
  <c r="AB25" i="16"/>
  <c r="AA25" i="16"/>
  <c r="Z25" i="16"/>
  <c r="Y25" i="16"/>
  <c r="X25" i="16"/>
  <c r="V25" i="16"/>
  <c r="U25" i="16"/>
  <c r="T25" i="16"/>
  <c r="S25" i="16"/>
  <c r="R25" i="16"/>
  <c r="Q25" i="16"/>
  <c r="N25" i="16"/>
  <c r="M25" i="16"/>
  <c r="L25" i="16"/>
  <c r="K25" i="16"/>
  <c r="J25" i="16"/>
  <c r="I25" i="16"/>
  <c r="F25" i="16"/>
  <c r="E25" i="16"/>
  <c r="D25" i="16"/>
  <c r="AI24" i="16"/>
  <c r="AG24" i="16"/>
  <c r="AF24" i="16"/>
  <c r="AE24" i="16"/>
  <c r="AC24" i="16"/>
  <c r="AB24" i="16"/>
  <c r="AA24" i="16"/>
  <c r="Z24" i="16"/>
  <c r="Y24" i="16"/>
  <c r="X24" i="16"/>
  <c r="V24" i="16"/>
  <c r="U24" i="16"/>
  <c r="T24" i="16"/>
  <c r="S24" i="16"/>
  <c r="R24" i="16"/>
  <c r="Q24" i="16"/>
  <c r="N24" i="16"/>
  <c r="M24" i="16"/>
  <c r="L24" i="16"/>
  <c r="K24" i="16"/>
  <c r="J24" i="16"/>
  <c r="I24" i="16"/>
  <c r="F24" i="16"/>
  <c r="E24" i="16"/>
  <c r="D24" i="16"/>
  <c r="AI23" i="16"/>
  <c r="AG23" i="16"/>
  <c r="AF23" i="16"/>
  <c r="AE23" i="16"/>
  <c r="AC23" i="16"/>
  <c r="AB23" i="16"/>
  <c r="AA23" i="16"/>
  <c r="Z23" i="16"/>
  <c r="Y23" i="16"/>
  <c r="X23" i="16"/>
  <c r="V23" i="16"/>
  <c r="U23" i="16"/>
  <c r="T23" i="16"/>
  <c r="S23" i="16"/>
  <c r="R23" i="16"/>
  <c r="Q23" i="16"/>
  <c r="N23" i="16"/>
  <c r="M23" i="16"/>
  <c r="L23" i="16"/>
  <c r="K23" i="16"/>
  <c r="J23" i="16"/>
  <c r="I23" i="16"/>
  <c r="F23" i="16"/>
  <c r="E23" i="16"/>
  <c r="D23" i="16"/>
  <c r="AI22" i="16"/>
  <c r="AG22" i="16"/>
  <c r="AF22" i="16"/>
  <c r="AE22" i="16"/>
  <c r="AC22" i="16"/>
  <c r="AB22" i="16"/>
  <c r="AA22" i="16"/>
  <c r="Z22" i="16"/>
  <c r="Y22" i="16"/>
  <c r="X22" i="16"/>
  <c r="V22" i="16"/>
  <c r="U22" i="16"/>
  <c r="T22" i="16"/>
  <c r="S22" i="16"/>
  <c r="R22" i="16"/>
  <c r="Q22" i="16"/>
  <c r="N22" i="16"/>
  <c r="M22" i="16"/>
  <c r="L22" i="16"/>
  <c r="K22" i="16"/>
  <c r="J22" i="16"/>
  <c r="I22" i="16"/>
  <c r="F22" i="16"/>
  <c r="E22" i="16"/>
  <c r="D22" i="16"/>
  <c r="AI21" i="16"/>
  <c r="AG21" i="16"/>
  <c r="AF21" i="16"/>
  <c r="AE21" i="16"/>
  <c r="AC21" i="16"/>
  <c r="AB21" i="16"/>
  <c r="AA21" i="16"/>
  <c r="Z21" i="16"/>
  <c r="Y21" i="16"/>
  <c r="X21" i="16"/>
  <c r="V21" i="16"/>
  <c r="U21" i="16"/>
  <c r="T21" i="16"/>
  <c r="S21" i="16"/>
  <c r="R21" i="16"/>
  <c r="Q21" i="16"/>
  <c r="N21" i="16"/>
  <c r="M21" i="16"/>
  <c r="L21" i="16"/>
  <c r="K21" i="16"/>
  <c r="J21" i="16"/>
  <c r="I21" i="16"/>
  <c r="F21" i="16"/>
  <c r="E21" i="16"/>
  <c r="D21" i="16"/>
  <c r="AI20" i="16"/>
  <c r="AG20" i="16"/>
  <c r="AF20" i="16"/>
  <c r="AE20" i="16"/>
  <c r="AC20" i="16"/>
  <c r="AB20" i="16"/>
  <c r="AA20" i="16"/>
  <c r="Z20" i="16"/>
  <c r="Y20" i="16"/>
  <c r="X20" i="16"/>
  <c r="V20" i="16"/>
  <c r="U20" i="16"/>
  <c r="T20" i="16"/>
  <c r="S20" i="16"/>
  <c r="R20" i="16"/>
  <c r="Q20" i="16"/>
  <c r="N20" i="16"/>
  <c r="M20" i="16"/>
  <c r="L20" i="16"/>
  <c r="K20" i="16"/>
  <c r="J20" i="16"/>
  <c r="I20" i="16"/>
  <c r="F20" i="16"/>
  <c r="E20" i="16"/>
  <c r="D20" i="16"/>
  <c r="AI19" i="16"/>
  <c r="AG19" i="16"/>
  <c r="AF19" i="16"/>
  <c r="AE19" i="16"/>
  <c r="AC19" i="16"/>
  <c r="AB19" i="16"/>
  <c r="AA19" i="16"/>
  <c r="Z19" i="16"/>
  <c r="Y19" i="16"/>
  <c r="X19" i="16"/>
  <c r="V19" i="16"/>
  <c r="U19" i="16"/>
  <c r="T19" i="16"/>
  <c r="S19" i="16"/>
  <c r="R19" i="16"/>
  <c r="Q19" i="16"/>
  <c r="N19" i="16"/>
  <c r="M19" i="16"/>
  <c r="L19" i="16"/>
  <c r="K19" i="16"/>
  <c r="J19" i="16"/>
  <c r="I19" i="16"/>
  <c r="F19" i="16"/>
  <c r="E19" i="16"/>
  <c r="D19" i="16"/>
  <c r="AI18" i="16"/>
  <c r="AG18" i="16"/>
  <c r="AF18" i="16"/>
  <c r="AE18" i="16"/>
  <c r="AC18" i="16"/>
  <c r="AB18" i="16"/>
  <c r="AA18" i="16"/>
  <c r="Z18" i="16"/>
  <c r="Y18" i="16"/>
  <c r="X18" i="16"/>
  <c r="V18" i="16"/>
  <c r="U18" i="16"/>
  <c r="T18" i="16"/>
  <c r="S18" i="16"/>
  <c r="R18" i="16"/>
  <c r="Q18" i="16"/>
  <c r="N18" i="16"/>
  <c r="M18" i="16"/>
  <c r="L18" i="16"/>
  <c r="K18" i="16"/>
  <c r="J18" i="16"/>
  <c r="I18" i="16"/>
  <c r="F18" i="16"/>
  <c r="E18" i="16"/>
  <c r="D18" i="16"/>
  <c r="AI17" i="16"/>
  <c r="AG17" i="16"/>
  <c r="AF17" i="16"/>
  <c r="AE17" i="16"/>
  <c r="AC17" i="16"/>
  <c r="AB17" i="16"/>
  <c r="AA17" i="16"/>
  <c r="Z17" i="16"/>
  <c r="Y17" i="16"/>
  <c r="X17" i="16"/>
  <c r="V17" i="16"/>
  <c r="U17" i="16"/>
  <c r="T17" i="16"/>
  <c r="S17" i="16"/>
  <c r="R17" i="16"/>
  <c r="Q17" i="16"/>
  <c r="N17" i="16"/>
  <c r="M17" i="16"/>
  <c r="L17" i="16"/>
  <c r="K17" i="16"/>
  <c r="J17" i="16"/>
  <c r="I17" i="16"/>
  <c r="F17" i="16"/>
  <c r="E17" i="16"/>
  <c r="D17" i="16"/>
  <c r="AI16" i="16"/>
  <c r="AG16" i="16"/>
  <c r="AF16" i="16"/>
  <c r="AE16" i="16"/>
  <c r="AC16" i="16"/>
  <c r="AB16" i="16"/>
  <c r="AA16" i="16"/>
  <c r="Z16" i="16"/>
  <c r="Y16" i="16"/>
  <c r="X16" i="16"/>
  <c r="V16" i="16"/>
  <c r="U16" i="16"/>
  <c r="T16" i="16"/>
  <c r="S16" i="16"/>
  <c r="R16" i="16"/>
  <c r="Q16" i="16"/>
  <c r="N16" i="16"/>
  <c r="M16" i="16"/>
  <c r="L16" i="16"/>
  <c r="K16" i="16"/>
  <c r="J16" i="16"/>
  <c r="I16" i="16"/>
  <c r="F16" i="16"/>
  <c r="E16" i="16"/>
  <c r="D16" i="16"/>
  <c r="AI15" i="16"/>
  <c r="AG15" i="16"/>
  <c r="AF15" i="16"/>
  <c r="AE15" i="16"/>
  <c r="AC15" i="16"/>
  <c r="AB15" i="16"/>
  <c r="AA15" i="16"/>
  <c r="Z15" i="16"/>
  <c r="Y15" i="16"/>
  <c r="X15" i="16"/>
  <c r="V15" i="16"/>
  <c r="U15" i="16"/>
  <c r="T15" i="16"/>
  <c r="S15" i="16"/>
  <c r="R15" i="16"/>
  <c r="Q15" i="16"/>
  <c r="N15" i="16"/>
  <c r="M15" i="16"/>
  <c r="L15" i="16"/>
  <c r="K15" i="16"/>
  <c r="J15" i="16"/>
  <c r="I15" i="16"/>
  <c r="F15" i="16"/>
  <c r="E15" i="16"/>
  <c r="D15" i="16"/>
  <c r="AI14" i="16"/>
  <c r="AG14" i="16"/>
  <c r="AF14" i="16"/>
  <c r="AE14" i="16"/>
  <c r="AC14" i="16"/>
  <c r="AB14" i="16"/>
  <c r="AA14" i="16"/>
  <c r="Z14" i="16"/>
  <c r="Y14" i="16"/>
  <c r="X14" i="16"/>
  <c r="V14" i="16"/>
  <c r="U14" i="16"/>
  <c r="T14" i="16"/>
  <c r="S14" i="16"/>
  <c r="R14" i="16"/>
  <c r="Q14" i="16"/>
  <c r="N14" i="16"/>
  <c r="M14" i="16"/>
  <c r="L14" i="16"/>
  <c r="K14" i="16"/>
  <c r="J14" i="16"/>
  <c r="I14" i="16"/>
  <c r="F14" i="16"/>
  <c r="E14" i="16"/>
  <c r="D14" i="16"/>
  <c r="AI13" i="16"/>
  <c r="AG13" i="16"/>
  <c r="AF13" i="16"/>
  <c r="AE13" i="16"/>
  <c r="AC13" i="16"/>
  <c r="AB13" i="16"/>
  <c r="AA13" i="16"/>
  <c r="Z13" i="16"/>
  <c r="Y13" i="16"/>
  <c r="X13" i="16"/>
  <c r="V13" i="16"/>
  <c r="U13" i="16"/>
  <c r="T13" i="16"/>
  <c r="S13" i="16"/>
  <c r="R13" i="16"/>
  <c r="Q13" i="16"/>
  <c r="N13" i="16"/>
  <c r="M13" i="16"/>
  <c r="L13" i="16"/>
  <c r="K13" i="16"/>
  <c r="J13" i="16"/>
  <c r="I13" i="16"/>
  <c r="F13" i="16"/>
  <c r="E13" i="16"/>
  <c r="D13" i="16"/>
  <c r="AI12" i="16"/>
  <c r="AG12" i="16"/>
  <c r="AF12" i="16"/>
  <c r="AE12" i="16"/>
  <c r="AC12" i="16"/>
  <c r="AB12" i="16"/>
  <c r="AA12" i="16"/>
  <c r="Z12" i="16"/>
  <c r="Y12" i="16"/>
  <c r="X12" i="16"/>
  <c r="V12" i="16"/>
  <c r="U12" i="16"/>
  <c r="T12" i="16"/>
  <c r="S12" i="16"/>
  <c r="R12" i="16"/>
  <c r="Q12" i="16"/>
  <c r="N12" i="16"/>
  <c r="M12" i="16"/>
  <c r="L12" i="16"/>
  <c r="K12" i="16"/>
  <c r="J12" i="16"/>
  <c r="I12" i="16"/>
  <c r="F12" i="16"/>
  <c r="E12" i="16"/>
  <c r="D12" i="16"/>
  <c r="AI11" i="16"/>
  <c r="AG11" i="16"/>
  <c r="AF11" i="16"/>
  <c r="AE11" i="16"/>
  <c r="AC11" i="16"/>
  <c r="AB11" i="16"/>
  <c r="AA11" i="16"/>
  <c r="Z11" i="16"/>
  <c r="Y11" i="16"/>
  <c r="X11" i="16"/>
  <c r="V11" i="16"/>
  <c r="U11" i="16"/>
  <c r="T11" i="16"/>
  <c r="S11" i="16"/>
  <c r="R11" i="16"/>
  <c r="Q11" i="16"/>
  <c r="N11" i="16"/>
  <c r="M11" i="16"/>
  <c r="L11" i="16"/>
  <c r="K11" i="16"/>
  <c r="J11" i="16"/>
  <c r="I11" i="16"/>
  <c r="F11" i="16"/>
  <c r="E11" i="16"/>
  <c r="D11" i="16"/>
  <c r="AI10" i="16"/>
  <c r="AG10" i="16"/>
  <c r="AF10" i="16"/>
  <c r="AE10" i="16"/>
  <c r="AC10" i="16"/>
  <c r="AB10" i="16"/>
  <c r="AA10" i="16"/>
  <c r="Z10" i="16"/>
  <c r="Y10" i="16"/>
  <c r="X10" i="16"/>
  <c r="V10" i="16"/>
  <c r="U10" i="16"/>
  <c r="T10" i="16"/>
  <c r="S10" i="16"/>
  <c r="R10" i="16"/>
  <c r="Q10" i="16"/>
  <c r="N10" i="16"/>
  <c r="M10" i="16"/>
  <c r="L10" i="16"/>
  <c r="K10" i="16"/>
  <c r="J10" i="16"/>
  <c r="I10" i="16"/>
  <c r="F10" i="16"/>
  <c r="E10" i="16"/>
  <c r="D10" i="16"/>
  <c r="AI9" i="16"/>
  <c r="AG9" i="16"/>
  <c r="AF9" i="16"/>
  <c r="AE9" i="16"/>
  <c r="AC9" i="16"/>
  <c r="AB9" i="16"/>
  <c r="AA9" i="16"/>
  <c r="Z9" i="16"/>
  <c r="Y9" i="16"/>
  <c r="X9" i="16"/>
  <c r="V9" i="16"/>
  <c r="U9" i="16"/>
  <c r="T9" i="16"/>
  <c r="S9" i="16"/>
  <c r="R9" i="16"/>
  <c r="Q9" i="16"/>
  <c r="N9" i="16"/>
  <c r="M9" i="16"/>
  <c r="L9" i="16"/>
  <c r="K9" i="16"/>
  <c r="J9" i="16"/>
  <c r="I9" i="16"/>
  <c r="F9" i="16"/>
  <c r="E9" i="16"/>
  <c r="D9" i="16"/>
  <c r="AI8" i="16"/>
  <c r="AG8" i="16"/>
  <c r="AF8" i="16"/>
  <c r="AE8" i="16"/>
  <c r="AC8" i="16"/>
  <c r="AB8" i="16"/>
  <c r="AA8" i="16"/>
  <c r="Z8" i="16"/>
  <c r="Y8" i="16"/>
  <c r="X8" i="16"/>
  <c r="V8" i="16"/>
  <c r="U8" i="16"/>
  <c r="T8" i="16"/>
  <c r="S8" i="16"/>
  <c r="R8" i="16"/>
  <c r="Q8" i="16"/>
  <c r="N8" i="16"/>
  <c r="M8" i="16"/>
  <c r="L8" i="16"/>
  <c r="K8" i="16"/>
  <c r="J8" i="16"/>
  <c r="I8" i="16"/>
  <c r="F8" i="16"/>
  <c r="E8" i="16"/>
  <c r="D8" i="16"/>
  <c r="AI7" i="16"/>
  <c r="AG7" i="16"/>
  <c r="AF7" i="16"/>
  <c r="AE7" i="16"/>
  <c r="AC7" i="16"/>
  <c r="AB7" i="16"/>
  <c r="AA7" i="16"/>
  <c r="Z7" i="16"/>
  <c r="Y7" i="16"/>
  <c r="X7" i="16"/>
  <c r="V7" i="16"/>
  <c r="U7" i="16"/>
  <c r="T7" i="16"/>
  <c r="S7" i="16"/>
  <c r="R7" i="16"/>
  <c r="Q7" i="16"/>
  <c r="N7" i="16"/>
  <c r="M7" i="16"/>
  <c r="L7" i="16"/>
  <c r="K7" i="16"/>
  <c r="J7" i="16"/>
  <c r="I7" i="16"/>
  <c r="F7" i="16"/>
  <c r="E7" i="16"/>
  <c r="D7" i="16"/>
  <c r="AI6" i="16"/>
  <c r="AG6" i="16"/>
  <c r="AF6" i="16"/>
  <c r="AE6" i="16"/>
  <c r="AC6" i="16"/>
  <c r="AB6" i="16"/>
  <c r="AA6" i="16"/>
  <c r="Z6" i="16"/>
  <c r="Y6" i="16"/>
  <c r="X6" i="16"/>
  <c r="V6" i="16"/>
  <c r="U6" i="16"/>
  <c r="T6" i="16"/>
  <c r="S6" i="16"/>
  <c r="R6" i="16"/>
  <c r="Q6" i="16"/>
  <c r="N6" i="16"/>
  <c r="M6" i="16"/>
  <c r="L6" i="16"/>
  <c r="K6" i="16"/>
  <c r="J6" i="16"/>
  <c r="I6" i="16"/>
  <c r="F6" i="16"/>
  <c r="E6" i="16"/>
  <c r="D6" i="16"/>
  <c r="AI5" i="16"/>
  <c r="AG5" i="16"/>
  <c r="AF5" i="16"/>
  <c r="AE5" i="16"/>
  <c r="AC5" i="16"/>
  <c r="AB5" i="16"/>
  <c r="AA5" i="16"/>
  <c r="Z5" i="16"/>
  <c r="Y5" i="16"/>
  <c r="X5" i="16"/>
  <c r="V5" i="16"/>
  <c r="U5" i="16"/>
  <c r="T5" i="16"/>
  <c r="S5" i="16"/>
  <c r="R5" i="16"/>
  <c r="Q5" i="16"/>
  <c r="N5" i="16"/>
  <c r="M5" i="16"/>
  <c r="L5" i="16"/>
  <c r="K5" i="16"/>
  <c r="J5" i="16"/>
  <c r="I5" i="16"/>
  <c r="F5" i="16"/>
  <c r="E5" i="16"/>
  <c r="D5" i="16"/>
  <c r="AI4" i="16"/>
  <c r="AG4" i="16"/>
  <c r="AF4" i="16"/>
  <c r="AE4" i="16"/>
  <c r="AC4" i="16"/>
  <c r="AB4" i="16"/>
  <c r="AA4" i="16"/>
  <c r="Z4" i="16"/>
  <c r="Y4" i="16"/>
  <c r="X4" i="16"/>
  <c r="V4" i="16"/>
  <c r="U4" i="16"/>
  <c r="T4" i="16"/>
  <c r="S4" i="16"/>
  <c r="R4" i="16"/>
  <c r="Q4" i="16"/>
  <c r="N4" i="16"/>
  <c r="M4" i="16"/>
  <c r="L4" i="16"/>
  <c r="K4" i="16"/>
  <c r="J4" i="16"/>
  <c r="I4" i="16"/>
  <c r="F4" i="16"/>
  <c r="E4" i="16"/>
  <c r="D4" i="16"/>
  <c r="AI3" i="16"/>
  <c r="AG3" i="16"/>
  <c r="AF3" i="16"/>
  <c r="AE3" i="16"/>
  <c r="AC3" i="16"/>
  <c r="AB3" i="16"/>
  <c r="AA3" i="16"/>
  <c r="Z3" i="16"/>
  <c r="Y3" i="16"/>
  <c r="X3" i="16"/>
  <c r="V3" i="16"/>
  <c r="U3" i="16"/>
  <c r="T3" i="16"/>
  <c r="S3" i="16"/>
  <c r="R3" i="16"/>
  <c r="Q3" i="16"/>
  <c r="N3" i="16"/>
  <c r="M3" i="16"/>
  <c r="L3" i="16"/>
  <c r="K3" i="16"/>
  <c r="J3" i="16"/>
  <c r="I3" i="16"/>
  <c r="F3" i="16"/>
  <c r="E3" i="16"/>
  <c r="D3" i="16"/>
  <c r="AI2" i="16"/>
  <c r="AG2" i="16"/>
  <c r="AF2" i="16"/>
  <c r="AE2" i="16"/>
  <c r="AC2" i="16"/>
  <c r="AB2" i="16"/>
  <c r="AA2" i="16"/>
  <c r="Z2" i="16"/>
  <c r="Y2" i="16"/>
  <c r="X2" i="16"/>
  <c r="V2" i="16"/>
  <c r="U2" i="16"/>
  <c r="T2" i="16"/>
  <c r="S2" i="16"/>
  <c r="R2" i="16"/>
  <c r="Q2" i="16"/>
  <c r="N2" i="16"/>
  <c r="M2" i="16"/>
  <c r="L2" i="16"/>
  <c r="K2" i="16"/>
  <c r="J2" i="16"/>
  <c r="I2" i="16"/>
  <c r="F2" i="16"/>
  <c r="E2" i="16"/>
  <c r="D2" i="16"/>
  <c r="AH88" i="15"/>
  <c r="AF88" i="15"/>
  <c r="AH87" i="15"/>
  <c r="AF87" i="15"/>
  <c r="AH86" i="15"/>
  <c r="AF86" i="15"/>
  <c r="AH85" i="15"/>
  <c r="AF85" i="15"/>
  <c r="AH84" i="15"/>
  <c r="AF84" i="15"/>
  <c r="AH83" i="15"/>
  <c r="AF83" i="15"/>
  <c r="AH82" i="15"/>
  <c r="AF82" i="15"/>
  <c r="AH81" i="15"/>
  <c r="AF81" i="15"/>
  <c r="AH80" i="15"/>
  <c r="AF80" i="15"/>
  <c r="AH79" i="15"/>
  <c r="AF79" i="15"/>
  <c r="AH78" i="15"/>
  <c r="AF78" i="15"/>
  <c r="AH77" i="15"/>
  <c r="AF77" i="15"/>
  <c r="AH76" i="15"/>
  <c r="AF76" i="15"/>
  <c r="AH75" i="15"/>
  <c r="AF75" i="15"/>
  <c r="AH74" i="15"/>
  <c r="AF74" i="15"/>
  <c r="AH73" i="15"/>
  <c r="AF73" i="15"/>
  <c r="AH72" i="15"/>
  <c r="AF72" i="15"/>
  <c r="AH71" i="15"/>
  <c r="AF71" i="15"/>
  <c r="AH70" i="15"/>
  <c r="AF70" i="15"/>
  <c r="AH69" i="15"/>
  <c r="AF69" i="15"/>
  <c r="AH68" i="15"/>
  <c r="AF68" i="15"/>
  <c r="AH67" i="15"/>
  <c r="AF67" i="15"/>
  <c r="AH66" i="15"/>
  <c r="AF66" i="15"/>
  <c r="K66" i="15"/>
  <c r="AH65" i="15"/>
  <c r="AF65" i="15"/>
  <c r="V65" i="15"/>
  <c r="P65" i="15"/>
  <c r="K65" i="15"/>
  <c r="AH64" i="15"/>
  <c r="AF64" i="15"/>
  <c r="V64" i="15"/>
  <c r="P64" i="15"/>
  <c r="K64" i="15"/>
  <c r="AH63" i="15"/>
  <c r="AF63" i="15"/>
  <c r="V63" i="15"/>
  <c r="P63" i="15"/>
  <c r="K63" i="15"/>
  <c r="AH62" i="15"/>
  <c r="AF62" i="15"/>
  <c r="V62" i="15"/>
  <c r="P62" i="15"/>
  <c r="AH61" i="15"/>
  <c r="AF61" i="15"/>
  <c r="K61" i="15"/>
  <c r="AH60" i="15"/>
  <c r="AF60" i="15"/>
  <c r="V60" i="15"/>
  <c r="P60" i="15"/>
  <c r="K60" i="15"/>
  <c r="AH59" i="15"/>
  <c r="AF59" i="15"/>
  <c r="V59" i="15"/>
  <c r="P59" i="15"/>
  <c r="K59" i="15"/>
  <c r="AH58" i="15"/>
  <c r="AF58" i="15"/>
  <c r="V58" i="15"/>
  <c r="P58" i="15"/>
  <c r="K58" i="15"/>
  <c r="AH57" i="15"/>
  <c r="AF57" i="15"/>
  <c r="V57" i="15"/>
  <c r="P57" i="15"/>
  <c r="AH56" i="15"/>
  <c r="AF56" i="15"/>
  <c r="K56" i="15"/>
  <c r="AH55" i="15"/>
  <c r="AF55" i="15"/>
  <c r="V55" i="15"/>
  <c r="P55" i="15"/>
  <c r="K55" i="15"/>
  <c r="AH54" i="15"/>
  <c r="AF54" i="15"/>
  <c r="V54" i="15"/>
  <c r="P54" i="15"/>
  <c r="K54" i="15"/>
  <c r="AH53" i="15"/>
  <c r="AF53" i="15"/>
  <c r="V53" i="15"/>
  <c r="P53" i="15"/>
  <c r="K53" i="15"/>
  <c r="AH52" i="15"/>
  <c r="AF52" i="15"/>
  <c r="V52" i="15"/>
  <c r="P52" i="15"/>
  <c r="AH51" i="15"/>
  <c r="AF51" i="15"/>
  <c r="K51" i="15"/>
  <c r="AH50" i="15"/>
  <c r="AF50" i="15"/>
  <c r="V50" i="15"/>
  <c r="P50" i="15"/>
  <c r="K50" i="15"/>
  <c r="AH49" i="15"/>
  <c r="AF49" i="15"/>
  <c r="V49" i="15"/>
  <c r="P49" i="15"/>
  <c r="K49" i="15"/>
  <c r="AH48" i="15"/>
  <c r="AF48" i="15"/>
  <c r="V48" i="15"/>
  <c r="P48" i="15"/>
  <c r="K48" i="15"/>
  <c r="AH47" i="15"/>
  <c r="AF47" i="15"/>
  <c r="V47" i="15"/>
  <c r="P47" i="15"/>
  <c r="AH46" i="15"/>
  <c r="AF46" i="15"/>
  <c r="K46" i="15"/>
  <c r="AH45" i="15"/>
  <c r="AF45" i="15"/>
  <c r="V45" i="15"/>
  <c r="P45" i="15"/>
  <c r="K45" i="15"/>
  <c r="AH44" i="15"/>
  <c r="AF44" i="15"/>
  <c r="V44" i="15"/>
  <c r="P44" i="15"/>
  <c r="K44" i="15"/>
  <c r="AH43" i="15"/>
  <c r="AF43" i="15"/>
  <c r="V43" i="15"/>
  <c r="P43" i="15"/>
  <c r="K43" i="15"/>
  <c r="AH42" i="15"/>
  <c r="AF42" i="15"/>
  <c r="V42" i="15"/>
  <c r="P42" i="15"/>
  <c r="AH41" i="15"/>
  <c r="AF41" i="15"/>
  <c r="K41" i="15"/>
  <c r="AH40" i="15"/>
  <c r="AF40" i="15"/>
  <c r="V40" i="15"/>
  <c r="P40" i="15"/>
  <c r="K40" i="15"/>
  <c r="V39" i="15"/>
  <c r="P39" i="15"/>
  <c r="K39" i="15"/>
  <c r="V38" i="15"/>
  <c r="P38" i="15"/>
  <c r="K38" i="15"/>
  <c r="V37" i="15"/>
  <c r="P37" i="15"/>
  <c r="AF32" i="15"/>
  <c r="AD32" i="15"/>
  <c r="AC32" i="15"/>
  <c r="AQ31" i="15"/>
  <c r="AO31" i="15"/>
  <c r="AJ31" i="15"/>
  <c r="AF31" i="15"/>
  <c r="AD31" i="15"/>
  <c r="AC31" i="15"/>
  <c r="AB31" i="15"/>
  <c r="Z31" i="15"/>
  <c r="Y31" i="15"/>
  <c r="X31" i="15"/>
  <c r="W31" i="15"/>
  <c r="V31" i="15"/>
  <c r="U31" i="15"/>
  <c r="S31" i="15"/>
  <c r="R31" i="15"/>
  <c r="Q31" i="15"/>
  <c r="P31" i="15"/>
  <c r="O31" i="15"/>
  <c r="N31" i="15"/>
  <c r="L31" i="15"/>
  <c r="K31" i="15"/>
  <c r="J31" i="15"/>
  <c r="I31" i="15"/>
  <c r="H31" i="15"/>
  <c r="G31" i="15"/>
  <c r="E31" i="15"/>
  <c r="AQ30" i="15"/>
  <c r="AO30" i="15"/>
  <c r="AJ30" i="15"/>
  <c r="AF30" i="15"/>
  <c r="AD30" i="15"/>
  <c r="AC30" i="15"/>
  <c r="AB30" i="15"/>
  <c r="Z30" i="15"/>
  <c r="Y30" i="15"/>
  <c r="X30" i="15"/>
  <c r="W30" i="15"/>
  <c r="V30" i="15"/>
  <c r="U30" i="15"/>
  <c r="S30" i="15"/>
  <c r="R30" i="15"/>
  <c r="Q30" i="15"/>
  <c r="P30" i="15"/>
  <c r="O30" i="15"/>
  <c r="N30" i="15"/>
  <c r="L30" i="15"/>
  <c r="K30" i="15"/>
  <c r="J30" i="15"/>
  <c r="I30" i="15"/>
  <c r="H30" i="15"/>
  <c r="G30" i="15"/>
  <c r="E30" i="15"/>
  <c r="AQ29" i="15"/>
  <c r="AO29" i="15"/>
  <c r="AJ29" i="15"/>
  <c r="AF29" i="15"/>
  <c r="AD29" i="15"/>
  <c r="AC29" i="15"/>
  <c r="AB29" i="15"/>
  <c r="Z29" i="15"/>
  <c r="Y29" i="15"/>
  <c r="X29" i="15"/>
  <c r="W29" i="15"/>
  <c r="V29" i="15"/>
  <c r="U29" i="15"/>
  <c r="S29" i="15"/>
  <c r="R29" i="15"/>
  <c r="Q29" i="15"/>
  <c r="P29" i="15"/>
  <c r="O29" i="15"/>
  <c r="N29" i="15"/>
  <c r="L29" i="15"/>
  <c r="K29" i="15"/>
  <c r="J29" i="15"/>
  <c r="I29" i="15"/>
  <c r="H29" i="15"/>
  <c r="G29" i="15"/>
  <c r="E29" i="15"/>
  <c r="AQ28" i="15"/>
  <c r="AO28" i="15"/>
  <c r="AJ28" i="15"/>
  <c r="AF28" i="15"/>
  <c r="AD28" i="15"/>
  <c r="AC28" i="15"/>
  <c r="AB28" i="15"/>
  <c r="Z28" i="15"/>
  <c r="Y28" i="15"/>
  <c r="X28" i="15"/>
  <c r="W28" i="15"/>
  <c r="V28" i="15"/>
  <c r="U28" i="15"/>
  <c r="S28" i="15"/>
  <c r="R28" i="15"/>
  <c r="Q28" i="15"/>
  <c r="P28" i="15"/>
  <c r="O28" i="15"/>
  <c r="N28" i="15"/>
  <c r="L28" i="15"/>
  <c r="K28" i="15"/>
  <c r="J28" i="15"/>
  <c r="I28" i="15"/>
  <c r="H28" i="15"/>
  <c r="G28" i="15"/>
  <c r="E28" i="15"/>
  <c r="AQ27" i="15"/>
  <c r="AO27" i="15"/>
  <c r="AJ27" i="15"/>
  <c r="AF27" i="15"/>
  <c r="AD27" i="15"/>
  <c r="AC27" i="15"/>
  <c r="AB27" i="15"/>
  <c r="Z27" i="15"/>
  <c r="Y27" i="15"/>
  <c r="X27" i="15"/>
  <c r="W27" i="15"/>
  <c r="V27" i="15"/>
  <c r="U27" i="15"/>
  <c r="S27" i="15"/>
  <c r="R27" i="15"/>
  <c r="Q27" i="15"/>
  <c r="P27" i="15"/>
  <c r="O27" i="15"/>
  <c r="N27" i="15"/>
  <c r="L27" i="15"/>
  <c r="K27" i="15"/>
  <c r="J27" i="15"/>
  <c r="I27" i="15"/>
  <c r="H27" i="15"/>
  <c r="G27" i="15"/>
  <c r="E27" i="15"/>
  <c r="AQ26" i="15"/>
  <c r="AO26" i="15"/>
  <c r="AJ26" i="15"/>
  <c r="AF26" i="15"/>
  <c r="AD26" i="15"/>
  <c r="AC26" i="15"/>
  <c r="AB26" i="15"/>
  <c r="Z26" i="15"/>
  <c r="Y26" i="15"/>
  <c r="X26" i="15"/>
  <c r="W26" i="15"/>
  <c r="V26" i="15"/>
  <c r="U26" i="15"/>
  <c r="S26" i="15"/>
  <c r="R26" i="15"/>
  <c r="Q26" i="15"/>
  <c r="P26" i="15"/>
  <c r="O26" i="15"/>
  <c r="N26" i="15"/>
  <c r="L26" i="15"/>
  <c r="K26" i="15"/>
  <c r="J26" i="15"/>
  <c r="I26" i="15"/>
  <c r="H26" i="15"/>
  <c r="G26" i="15"/>
  <c r="E26" i="15"/>
  <c r="AQ25" i="15"/>
  <c r="AO25" i="15"/>
  <c r="AJ25" i="15"/>
  <c r="AF25" i="15"/>
  <c r="AD25" i="15"/>
  <c r="AC25" i="15"/>
  <c r="AB25" i="15"/>
  <c r="Z25" i="15"/>
  <c r="Y25" i="15"/>
  <c r="X25" i="15"/>
  <c r="W25" i="15"/>
  <c r="V25" i="15"/>
  <c r="U25" i="15"/>
  <c r="S25" i="15"/>
  <c r="R25" i="15"/>
  <c r="Q25" i="15"/>
  <c r="P25" i="15"/>
  <c r="O25" i="15"/>
  <c r="N25" i="15"/>
  <c r="L25" i="15"/>
  <c r="K25" i="15"/>
  <c r="J25" i="15"/>
  <c r="I25" i="15"/>
  <c r="H25" i="15"/>
  <c r="G25" i="15"/>
  <c r="E25" i="15"/>
  <c r="AQ24" i="15"/>
  <c r="AO24" i="15"/>
  <c r="AJ24" i="15"/>
  <c r="AF24" i="15"/>
  <c r="AD24" i="15"/>
  <c r="AC24" i="15"/>
  <c r="AB24" i="15"/>
  <c r="Z24" i="15"/>
  <c r="Y24" i="15"/>
  <c r="X24" i="15"/>
  <c r="W24" i="15"/>
  <c r="V24" i="15"/>
  <c r="U24" i="15"/>
  <c r="S24" i="15"/>
  <c r="R24" i="15"/>
  <c r="Q24" i="15"/>
  <c r="P24" i="15"/>
  <c r="O24" i="15"/>
  <c r="N24" i="15"/>
  <c r="L24" i="15"/>
  <c r="K24" i="15"/>
  <c r="J24" i="15"/>
  <c r="I24" i="15"/>
  <c r="H24" i="15"/>
  <c r="G24" i="15"/>
  <c r="E24" i="15"/>
  <c r="AQ23" i="15"/>
  <c r="AO23" i="15"/>
  <c r="AJ23" i="15"/>
  <c r="AF23" i="15"/>
  <c r="AD23" i="15"/>
  <c r="AC23" i="15"/>
  <c r="AB23" i="15"/>
  <c r="Z23" i="15"/>
  <c r="Y23" i="15"/>
  <c r="X23" i="15"/>
  <c r="W23" i="15"/>
  <c r="V23" i="15"/>
  <c r="U23" i="15"/>
  <c r="S23" i="15"/>
  <c r="R23" i="15"/>
  <c r="Q23" i="15"/>
  <c r="P23" i="15"/>
  <c r="O23" i="15"/>
  <c r="N23" i="15"/>
  <c r="L23" i="15"/>
  <c r="K23" i="15"/>
  <c r="J23" i="15"/>
  <c r="I23" i="15"/>
  <c r="H23" i="15"/>
  <c r="G23" i="15"/>
  <c r="E23" i="15"/>
  <c r="AQ22" i="15"/>
  <c r="AO22" i="15"/>
  <c r="AJ22" i="15"/>
  <c r="AF22" i="15"/>
  <c r="AD22" i="15"/>
  <c r="AC22" i="15"/>
  <c r="AB22" i="15"/>
  <c r="Z22" i="15"/>
  <c r="Y22" i="15"/>
  <c r="X22" i="15"/>
  <c r="W22" i="15"/>
  <c r="V22" i="15"/>
  <c r="U22" i="15"/>
  <c r="S22" i="15"/>
  <c r="R22" i="15"/>
  <c r="Q22" i="15"/>
  <c r="P22" i="15"/>
  <c r="O22" i="15"/>
  <c r="N22" i="15"/>
  <c r="L22" i="15"/>
  <c r="K22" i="15"/>
  <c r="J22" i="15"/>
  <c r="I22" i="15"/>
  <c r="H22" i="15"/>
  <c r="G22" i="15"/>
  <c r="E22" i="15"/>
  <c r="AQ21" i="15"/>
  <c r="AJ21" i="15"/>
  <c r="AF21" i="15"/>
  <c r="AD21" i="15"/>
  <c r="AC21" i="15"/>
  <c r="AB21" i="15"/>
  <c r="Z21" i="15"/>
  <c r="Y21" i="15"/>
  <c r="X21" i="15"/>
  <c r="W21" i="15"/>
  <c r="V21" i="15"/>
  <c r="U21" i="15"/>
  <c r="S21" i="15"/>
  <c r="R21" i="15"/>
  <c r="Q21" i="15"/>
  <c r="P21" i="15"/>
  <c r="O21" i="15"/>
  <c r="N21" i="15"/>
  <c r="L21" i="15"/>
  <c r="K21" i="15"/>
  <c r="J21" i="15"/>
  <c r="I21" i="15"/>
  <c r="H21" i="15"/>
  <c r="G21" i="15"/>
  <c r="E21" i="15"/>
  <c r="AQ20" i="15"/>
  <c r="AJ20" i="15"/>
  <c r="AF20" i="15"/>
  <c r="AD20" i="15"/>
  <c r="AC20" i="15"/>
  <c r="AB20" i="15"/>
  <c r="Z20" i="15"/>
  <c r="Y20" i="15"/>
  <c r="X20" i="15"/>
  <c r="W20" i="15"/>
  <c r="V20" i="15"/>
  <c r="U20" i="15"/>
  <c r="S20" i="15"/>
  <c r="R20" i="15"/>
  <c r="Q20" i="15"/>
  <c r="P20" i="15"/>
  <c r="O20" i="15"/>
  <c r="N20" i="15"/>
  <c r="L20" i="15"/>
  <c r="K20" i="15"/>
  <c r="J20" i="15"/>
  <c r="I20" i="15"/>
  <c r="H20" i="15"/>
  <c r="G20" i="15"/>
  <c r="E20" i="15"/>
  <c r="AQ19" i="15"/>
  <c r="AO19" i="15"/>
  <c r="AJ19" i="15"/>
  <c r="AF19" i="15"/>
  <c r="AD19" i="15"/>
  <c r="AC19" i="15"/>
  <c r="AB19" i="15"/>
  <c r="Z19" i="15"/>
  <c r="Y19" i="15"/>
  <c r="X19" i="15"/>
  <c r="W19" i="15"/>
  <c r="V19" i="15"/>
  <c r="U19" i="15"/>
  <c r="S19" i="15"/>
  <c r="R19" i="15"/>
  <c r="Q19" i="15"/>
  <c r="P19" i="15"/>
  <c r="O19" i="15"/>
  <c r="N19" i="15"/>
  <c r="L19" i="15"/>
  <c r="K19" i="15"/>
  <c r="J19" i="15"/>
  <c r="I19" i="15"/>
  <c r="H19" i="15"/>
  <c r="G19" i="15"/>
  <c r="E19" i="15"/>
  <c r="AQ18" i="15"/>
  <c r="AO18" i="15"/>
  <c r="AJ18" i="15"/>
  <c r="AF18" i="15"/>
  <c r="AD18" i="15"/>
  <c r="AC18" i="15"/>
  <c r="AB18" i="15"/>
  <c r="Z18" i="15"/>
  <c r="Y18" i="15"/>
  <c r="X18" i="15"/>
  <c r="W18" i="15"/>
  <c r="V18" i="15"/>
  <c r="U18" i="15"/>
  <c r="S18" i="15"/>
  <c r="R18" i="15"/>
  <c r="Q18" i="15"/>
  <c r="P18" i="15"/>
  <c r="O18" i="15"/>
  <c r="N18" i="15"/>
  <c r="L18" i="15"/>
  <c r="K18" i="15"/>
  <c r="J18" i="15"/>
  <c r="I18" i="15"/>
  <c r="H18" i="15"/>
  <c r="G18" i="15"/>
  <c r="E18" i="15"/>
  <c r="AQ17" i="15"/>
  <c r="AO17" i="15"/>
  <c r="AJ17" i="15"/>
  <c r="AF17" i="15"/>
  <c r="AD17" i="15"/>
  <c r="AC17" i="15"/>
  <c r="AB17" i="15"/>
  <c r="Z17" i="15"/>
  <c r="Y17" i="15"/>
  <c r="X17" i="15"/>
  <c r="W17" i="15"/>
  <c r="V17" i="15"/>
  <c r="U17" i="15"/>
  <c r="S17" i="15"/>
  <c r="R17" i="15"/>
  <c r="Q17" i="15"/>
  <c r="P17" i="15"/>
  <c r="O17" i="15"/>
  <c r="N17" i="15"/>
  <c r="L17" i="15"/>
  <c r="K17" i="15"/>
  <c r="J17" i="15"/>
  <c r="I17" i="15"/>
  <c r="H17" i="15"/>
  <c r="G17" i="15"/>
  <c r="E17" i="15"/>
  <c r="AQ16" i="15"/>
  <c r="AO16" i="15"/>
  <c r="AJ16" i="15"/>
  <c r="AF16" i="15"/>
  <c r="AD16" i="15"/>
  <c r="AC16" i="15"/>
  <c r="AB16" i="15"/>
  <c r="Z16" i="15"/>
  <c r="Y16" i="15"/>
  <c r="X16" i="15"/>
  <c r="W16" i="15"/>
  <c r="V16" i="15"/>
  <c r="U16" i="15"/>
  <c r="S16" i="15"/>
  <c r="R16" i="15"/>
  <c r="Q16" i="15"/>
  <c r="P16" i="15"/>
  <c r="O16" i="15"/>
  <c r="N16" i="15"/>
  <c r="L16" i="15"/>
  <c r="K16" i="15"/>
  <c r="J16" i="15"/>
  <c r="I16" i="15"/>
  <c r="H16" i="15"/>
  <c r="G16" i="15"/>
  <c r="E16" i="15"/>
  <c r="AQ15" i="15"/>
  <c r="AO15" i="15"/>
  <c r="AJ15" i="15"/>
  <c r="AF15" i="15"/>
  <c r="AD15" i="15"/>
  <c r="AC15" i="15"/>
  <c r="AB15" i="15"/>
  <c r="Z15" i="15"/>
  <c r="Y15" i="15"/>
  <c r="X15" i="15"/>
  <c r="W15" i="15"/>
  <c r="V15" i="15"/>
  <c r="U15" i="15"/>
  <c r="S15" i="15"/>
  <c r="R15" i="15"/>
  <c r="Q15" i="15"/>
  <c r="P15" i="15"/>
  <c r="O15" i="15"/>
  <c r="N15" i="15"/>
  <c r="L15" i="15"/>
  <c r="K15" i="15"/>
  <c r="J15" i="15"/>
  <c r="I15" i="15"/>
  <c r="H15" i="15"/>
  <c r="G15" i="15"/>
  <c r="E15" i="15"/>
  <c r="AQ14" i="15"/>
  <c r="AO14" i="15"/>
  <c r="AJ14" i="15"/>
  <c r="AF14" i="15"/>
  <c r="AD14" i="15"/>
  <c r="AC14" i="15"/>
  <c r="AB14" i="15"/>
  <c r="Z14" i="15"/>
  <c r="Y14" i="15"/>
  <c r="X14" i="15"/>
  <c r="W14" i="15"/>
  <c r="V14" i="15"/>
  <c r="U14" i="15"/>
  <c r="S14" i="15"/>
  <c r="R14" i="15"/>
  <c r="Q14" i="15"/>
  <c r="P14" i="15"/>
  <c r="O14" i="15"/>
  <c r="N14" i="15"/>
  <c r="L14" i="15"/>
  <c r="K14" i="15"/>
  <c r="J14" i="15"/>
  <c r="I14" i="15"/>
  <c r="H14" i="15"/>
  <c r="G14" i="15"/>
  <c r="E14" i="15"/>
  <c r="AQ13" i="15"/>
  <c r="AO13" i="15"/>
  <c r="AJ13" i="15"/>
  <c r="AF13" i="15"/>
  <c r="AD13" i="15"/>
  <c r="AC13" i="15"/>
  <c r="AB13" i="15"/>
  <c r="Z13" i="15"/>
  <c r="Y13" i="15"/>
  <c r="X13" i="15"/>
  <c r="W13" i="15"/>
  <c r="V13" i="15"/>
  <c r="U13" i="15"/>
  <c r="S13" i="15"/>
  <c r="R13" i="15"/>
  <c r="Q13" i="15"/>
  <c r="P13" i="15"/>
  <c r="O13" i="15"/>
  <c r="N13" i="15"/>
  <c r="L13" i="15"/>
  <c r="K13" i="15"/>
  <c r="J13" i="15"/>
  <c r="I13" i="15"/>
  <c r="H13" i="15"/>
  <c r="G13" i="15"/>
  <c r="E13" i="15"/>
  <c r="AQ12" i="15"/>
  <c r="AJ12" i="15"/>
  <c r="AF12" i="15"/>
  <c r="AD12" i="15"/>
  <c r="AC12" i="15"/>
  <c r="AB12" i="15"/>
  <c r="Z12" i="15"/>
  <c r="Y12" i="15"/>
  <c r="X12" i="15"/>
  <c r="W12" i="15"/>
  <c r="V12" i="15"/>
  <c r="U12" i="15"/>
  <c r="S12" i="15"/>
  <c r="R12" i="15"/>
  <c r="Q12" i="15"/>
  <c r="P12" i="15"/>
  <c r="O12" i="15"/>
  <c r="N12" i="15"/>
  <c r="L12" i="15"/>
  <c r="K12" i="15"/>
  <c r="J12" i="15"/>
  <c r="I12" i="15"/>
  <c r="H12" i="15"/>
  <c r="G12" i="15"/>
  <c r="E12" i="15"/>
  <c r="AQ11" i="15"/>
  <c r="AO11" i="15"/>
  <c r="AJ11" i="15"/>
  <c r="AF11" i="15"/>
  <c r="AD11" i="15"/>
  <c r="AC11" i="15"/>
  <c r="AB11" i="15"/>
  <c r="Z11" i="15"/>
  <c r="Y11" i="15"/>
  <c r="X11" i="15"/>
  <c r="W11" i="15"/>
  <c r="V11" i="15"/>
  <c r="U11" i="15"/>
  <c r="S11" i="15"/>
  <c r="R11" i="15"/>
  <c r="Q11" i="15"/>
  <c r="P11" i="15"/>
  <c r="O11" i="15"/>
  <c r="N11" i="15"/>
  <c r="L11" i="15"/>
  <c r="K11" i="15"/>
  <c r="J11" i="15"/>
  <c r="I11" i="15"/>
  <c r="H11" i="15"/>
  <c r="G11" i="15"/>
  <c r="E11" i="15"/>
  <c r="AQ10" i="15"/>
  <c r="AO10" i="15"/>
  <c r="AJ10" i="15"/>
  <c r="AF10" i="15"/>
  <c r="AD10" i="15"/>
  <c r="AC10" i="15"/>
  <c r="AB10" i="15"/>
  <c r="Z10" i="15"/>
  <c r="Y10" i="15"/>
  <c r="X10" i="15"/>
  <c r="W10" i="15"/>
  <c r="V10" i="15"/>
  <c r="U10" i="15"/>
  <c r="S10" i="15"/>
  <c r="R10" i="15"/>
  <c r="Q10" i="15"/>
  <c r="P10" i="15"/>
  <c r="O10" i="15"/>
  <c r="N10" i="15"/>
  <c r="L10" i="15"/>
  <c r="K10" i="15"/>
  <c r="J10" i="15"/>
  <c r="I10" i="15"/>
  <c r="H10" i="15"/>
  <c r="G10" i="15"/>
  <c r="E10" i="15"/>
  <c r="AQ9" i="15"/>
  <c r="AO9" i="15"/>
  <c r="AJ9" i="15"/>
  <c r="AF9" i="15"/>
  <c r="AD9" i="15"/>
  <c r="AC9" i="15"/>
  <c r="AB9" i="15"/>
  <c r="Z9" i="15"/>
  <c r="Y9" i="15"/>
  <c r="X9" i="15"/>
  <c r="W9" i="15"/>
  <c r="V9" i="15"/>
  <c r="U9" i="15"/>
  <c r="S9" i="15"/>
  <c r="R9" i="15"/>
  <c r="Q9" i="15"/>
  <c r="P9" i="15"/>
  <c r="O9" i="15"/>
  <c r="N9" i="15"/>
  <c r="L9" i="15"/>
  <c r="K9" i="15"/>
  <c r="J9" i="15"/>
  <c r="I9" i="15"/>
  <c r="H9" i="15"/>
  <c r="G9" i="15"/>
  <c r="E9" i="15"/>
  <c r="AQ8" i="15"/>
  <c r="AJ8" i="15"/>
  <c r="AF8" i="15"/>
  <c r="AD8" i="15"/>
  <c r="AC8" i="15"/>
  <c r="AB8" i="15"/>
  <c r="Z8" i="15"/>
  <c r="Y8" i="15"/>
  <c r="X8" i="15"/>
  <c r="W8" i="15"/>
  <c r="V8" i="15"/>
  <c r="U8" i="15"/>
  <c r="S8" i="15"/>
  <c r="R8" i="15"/>
  <c r="Q8" i="15"/>
  <c r="P8" i="15"/>
  <c r="O8" i="15"/>
  <c r="N8" i="15"/>
  <c r="L8" i="15"/>
  <c r="K8" i="15"/>
  <c r="J8" i="15"/>
  <c r="I8" i="15"/>
  <c r="H8" i="15"/>
  <c r="G8" i="15"/>
  <c r="E8" i="15"/>
  <c r="AQ7" i="15"/>
  <c r="AO7" i="15"/>
  <c r="AJ7" i="15"/>
  <c r="AF7" i="15"/>
  <c r="AD7" i="15"/>
  <c r="AC7" i="15"/>
  <c r="AB7" i="15"/>
  <c r="Z7" i="15"/>
  <c r="Y7" i="15"/>
  <c r="X7" i="15"/>
  <c r="W7" i="15"/>
  <c r="V7" i="15"/>
  <c r="U7" i="15"/>
  <c r="S7" i="15"/>
  <c r="R7" i="15"/>
  <c r="Q7" i="15"/>
  <c r="P7" i="15"/>
  <c r="O7" i="15"/>
  <c r="N7" i="15"/>
  <c r="L7" i="15"/>
  <c r="K7" i="15"/>
  <c r="J7" i="15"/>
  <c r="I7" i="15"/>
  <c r="H7" i="15"/>
  <c r="G7" i="15"/>
  <c r="E7" i="15"/>
  <c r="AQ6" i="15"/>
  <c r="AO6" i="15"/>
  <c r="AJ6" i="15"/>
  <c r="AF6" i="15"/>
  <c r="AD6" i="15"/>
  <c r="AC6" i="15"/>
  <c r="AB6" i="15"/>
  <c r="Z6" i="15"/>
  <c r="Y6" i="15"/>
  <c r="X6" i="15"/>
  <c r="W6" i="15"/>
  <c r="V6" i="15"/>
  <c r="U6" i="15"/>
  <c r="S6" i="15"/>
  <c r="R6" i="15"/>
  <c r="Q6" i="15"/>
  <c r="P6" i="15"/>
  <c r="O6" i="15"/>
  <c r="N6" i="15"/>
  <c r="L6" i="15"/>
  <c r="K6" i="15"/>
  <c r="J6" i="15"/>
  <c r="I6" i="15"/>
  <c r="H6" i="15"/>
  <c r="G6" i="15"/>
  <c r="E6" i="15"/>
  <c r="AQ5" i="15"/>
  <c r="AO5" i="15"/>
  <c r="AJ5" i="15"/>
  <c r="AF5" i="15"/>
  <c r="AD5" i="15"/>
  <c r="AC5" i="15"/>
  <c r="AB5" i="15"/>
  <c r="Z5" i="15"/>
  <c r="Y5" i="15"/>
  <c r="X5" i="15"/>
  <c r="W5" i="15"/>
  <c r="V5" i="15"/>
  <c r="U5" i="15"/>
  <c r="S5" i="15"/>
  <c r="R5" i="15"/>
  <c r="Q5" i="15"/>
  <c r="P5" i="15"/>
  <c r="O5" i="15"/>
  <c r="N5" i="15"/>
  <c r="L5" i="15"/>
  <c r="K5" i="15"/>
  <c r="J5" i="15"/>
  <c r="I5" i="15"/>
  <c r="H5" i="15"/>
  <c r="G5" i="15"/>
  <c r="E5" i="15"/>
  <c r="AQ4" i="15"/>
  <c r="AO4" i="15"/>
  <c r="AJ4" i="15"/>
  <c r="AF4" i="15"/>
  <c r="AD4" i="15"/>
  <c r="AC4" i="15"/>
  <c r="AB4" i="15"/>
  <c r="Z4" i="15"/>
  <c r="Y4" i="15"/>
  <c r="X4" i="15"/>
  <c r="W4" i="15"/>
  <c r="V4" i="15"/>
  <c r="U4" i="15"/>
  <c r="S4" i="15"/>
  <c r="R4" i="15"/>
  <c r="Q4" i="15"/>
  <c r="P4" i="15"/>
  <c r="O4" i="15"/>
  <c r="N4" i="15"/>
  <c r="L4" i="15"/>
  <c r="K4" i="15"/>
  <c r="J4" i="15"/>
  <c r="I4" i="15"/>
  <c r="H4" i="15"/>
  <c r="G4" i="15"/>
  <c r="E4" i="15"/>
  <c r="AQ3" i="15"/>
  <c r="AO3" i="15"/>
  <c r="AJ3" i="15"/>
  <c r="AF3" i="15"/>
  <c r="AD3" i="15"/>
  <c r="AC3" i="15"/>
  <c r="AB3" i="15"/>
  <c r="Z3" i="15"/>
  <c r="Y3" i="15"/>
  <c r="X3" i="15"/>
  <c r="W3" i="15"/>
  <c r="V3" i="15"/>
  <c r="U3" i="15"/>
  <c r="S3" i="15"/>
  <c r="R3" i="15"/>
  <c r="Q3" i="15"/>
  <c r="P3" i="15"/>
  <c r="O3" i="15"/>
  <c r="N3" i="15"/>
  <c r="L3" i="15"/>
  <c r="K3" i="15"/>
  <c r="J3" i="15"/>
  <c r="I3" i="15"/>
  <c r="H3" i="15"/>
  <c r="G3" i="15"/>
  <c r="E3" i="15"/>
  <c r="AQ2" i="15"/>
  <c r="AJ2" i="15"/>
  <c r="AF2" i="15"/>
  <c r="AD2" i="15"/>
  <c r="AB2" i="15"/>
  <c r="Z2" i="15"/>
  <c r="Y2" i="15"/>
  <c r="X2" i="15"/>
  <c r="W2" i="15"/>
  <c r="V2" i="15"/>
  <c r="U2" i="15"/>
  <c r="S2" i="15"/>
  <c r="R2" i="15"/>
  <c r="Q2" i="15"/>
  <c r="P2" i="15"/>
  <c r="O2" i="15"/>
  <c r="N2" i="15"/>
  <c r="L2" i="15"/>
  <c r="K2" i="15"/>
  <c r="J2" i="15"/>
  <c r="I2" i="15"/>
  <c r="H2" i="15"/>
  <c r="G2" i="15"/>
  <c r="E2" i="15"/>
  <c r="D2" i="15"/>
</calcChain>
</file>

<file path=xl/sharedStrings.xml><?xml version="1.0" encoding="utf-8"?>
<sst xmlns="http://schemas.openxmlformats.org/spreadsheetml/2006/main" count="63" uniqueCount="29">
  <si>
    <t>序号</t>
  </si>
  <si>
    <t>平均高度(mm)</t>
  </si>
  <si>
    <r>
      <rPr>
        <sz val="10"/>
        <color theme="1"/>
        <rFont val="宋体"/>
        <charset val="134"/>
      </rPr>
      <t>空中重</t>
    </r>
    <r>
      <rPr>
        <sz val="10"/>
        <color theme="1"/>
        <rFont val="Times New Roman"/>
        <family val="1"/>
      </rPr>
      <t>(g)</t>
    </r>
  </si>
  <si>
    <t>水中重(g)</t>
  </si>
  <si>
    <t>表干重(g)</t>
  </si>
  <si>
    <r>
      <rPr>
        <sz val="11"/>
        <color theme="1"/>
        <rFont val="宋体"/>
        <charset val="134"/>
      </rPr>
      <t>稳定度</t>
    </r>
    <r>
      <rPr>
        <sz val="11"/>
        <color theme="1"/>
        <rFont val="Times New Roman"/>
        <family val="1"/>
      </rPr>
      <t>(kN)</t>
    </r>
  </si>
  <si>
    <r>
      <rPr>
        <sz val="11"/>
        <color theme="1"/>
        <rFont val="宋体"/>
        <charset val="134"/>
      </rPr>
      <t>流值</t>
    </r>
    <r>
      <rPr>
        <sz val="11"/>
        <color theme="1"/>
        <rFont val="Times New Roman"/>
        <family val="1"/>
      </rPr>
      <t>(mm)</t>
    </r>
  </si>
  <si>
    <t>年</t>
  </si>
  <si>
    <t>预</t>
  </si>
  <si>
    <t>重</t>
  </si>
  <si>
    <t>总</t>
  </si>
  <si>
    <t>两方向1</t>
  </si>
  <si>
    <t>碳排</t>
  </si>
  <si>
    <t>1R</t>
  </si>
  <si>
    <t>1L</t>
  </si>
  <si>
    <t>能耗</t>
  </si>
  <si>
    <t>两方向2</t>
  </si>
  <si>
    <t>2R</t>
  </si>
  <si>
    <t>2L</t>
  </si>
  <si>
    <t>两方向3</t>
  </si>
  <si>
    <t>3R</t>
  </si>
  <si>
    <t>3L</t>
  </si>
  <si>
    <t>总公里</t>
  </si>
  <si>
    <t>总钱</t>
  </si>
  <si>
    <t>总碳</t>
  </si>
  <si>
    <t>总能</t>
  </si>
  <si>
    <t>kilo</t>
  </si>
  <si>
    <t>Energy</t>
  </si>
  <si>
    <t>GHG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</si>
</sst>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_ "/>
    <numFmt numFmtId="165" formatCode="0.00_ "/>
  </numFmts>
  <fonts count="10">
    <font>
      <sz val="11"/>
      <color theme="1"/>
      <name val="Calibri"/>
      <charset val="162"/>
      <scheme val="minor"/>
    </font>
    <font>
      <sz val="11"/>
      <color theme="1"/>
      <name val="Calibri"/>
      <charset val="134"/>
      <scheme val="minor"/>
    </font>
    <font>
      <sz val="12"/>
      <name val="宋体"/>
      <charset val="134"/>
    </font>
    <font>
      <sz val="11"/>
      <color theme="1"/>
      <name val="Calibri"/>
      <charset val="134"/>
      <scheme val="minor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10"/>
      <color theme="1"/>
      <name val="宋体"/>
      <charset val="134"/>
    </font>
    <font>
      <sz val="11"/>
      <color theme="1"/>
      <name val="宋体"/>
      <charset val="134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>
      <alignment vertical="center"/>
    </xf>
    <xf numFmtId="0" fontId="1" fillId="0" borderId="0">
      <alignment vertical="center"/>
    </xf>
  </cellStyleXfs>
  <cellXfs count="18">
    <xf numFmtId="0" fontId="0" fillId="0" borderId="0" xfId="0"/>
    <xf numFmtId="0" fontId="1" fillId="0" borderId="0" xfId="2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2" fillId="0" borderId="0" xfId="2" applyFont="1" applyAlignment="1">
      <alignment horizontal="center" vertical="center"/>
    </xf>
    <xf numFmtId="11" fontId="1" fillId="0" borderId="0" xfId="2" applyNumberFormat="1" applyAlignment="1">
      <alignment horizontal="center" vertical="center"/>
    </xf>
    <xf numFmtId="0" fontId="1" fillId="0" borderId="0" xfId="2">
      <alignment vertical="center"/>
    </xf>
    <xf numFmtId="164" fontId="1" fillId="0" borderId="0" xfId="2" applyNumberFormat="1">
      <alignment vertical="center"/>
    </xf>
    <xf numFmtId="0" fontId="2" fillId="0" borderId="0" xfId="2" applyFont="1">
      <alignment vertical="center"/>
    </xf>
    <xf numFmtId="11" fontId="1" fillId="0" borderId="0" xfId="2" applyNumberFormat="1">
      <alignment vertical="center"/>
    </xf>
    <xf numFmtId="0" fontId="3" fillId="0" borderId="0" xfId="1" applyAlignment="1">
      <alignment horizontal="center" vertical="center"/>
    </xf>
    <xf numFmtId="164" fontId="4" fillId="0" borderId="0" xfId="1" applyNumberFormat="1" applyFont="1" applyAlignment="1">
      <alignment horizontal="center" vertical="center" wrapText="1"/>
    </xf>
    <xf numFmtId="0" fontId="3" fillId="0" borderId="0" xfId="1">
      <alignment vertical="center"/>
    </xf>
    <xf numFmtId="0" fontId="5" fillId="0" borderId="0" xfId="1" applyFont="1" applyAlignment="1">
      <alignment horizontal="center" vertical="center"/>
    </xf>
    <xf numFmtId="9" fontId="6" fillId="0" borderId="0" xfId="1" applyNumberFormat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164" fontId="6" fillId="0" borderId="0" xfId="1" applyNumberFormat="1" applyFont="1" applyAlignment="1">
      <alignment horizontal="center" vertical="center" wrapText="1"/>
    </xf>
    <xf numFmtId="165" fontId="5" fillId="0" borderId="0" xfId="1" applyNumberFormat="1" applyFont="1" applyAlignment="1">
      <alignment horizontal="center" vertical="center"/>
    </xf>
    <xf numFmtId="0" fontId="2" fillId="0" borderId="0" xfId="0" applyNumberFormat="1" applyFont="1" applyFill="1" applyBorder="1" applyAlignment="1" applyProtection="1">
      <alignment vertical="center"/>
    </xf>
  </cellXfs>
  <cellStyles count="3">
    <cellStyle name="常规" xfId="0" builtinId="0"/>
    <cellStyle name="常规 2" xfId="1" xr:uid="{00000000-0005-0000-0000-000031000000}"/>
    <cellStyle name="常规 3" xfId="2" xr:uid="{00000000-0005-0000-0000-00003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9"/>
  <sheetViews>
    <sheetView workbookViewId="0">
      <selection activeCell="F31" sqref="F31"/>
    </sheetView>
  </sheetViews>
  <sheetFormatPr defaultColWidth="9" defaultRowHeight="15"/>
  <cols>
    <col min="1" max="1" width="8.42578125" style="9" customWidth="1"/>
    <col min="2" max="2" width="8.5703125" style="9" customWidth="1"/>
    <col min="3" max="3" width="17" style="9" customWidth="1"/>
    <col min="4" max="4" width="13" style="10" customWidth="1"/>
    <col min="5" max="6" width="13" style="9" customWidth="1"/>
    <col min="7" max="7" width="14.5703125" style="11" customWidth="1"/>
    <col min="8" max="8" width="23.42578125" style="11" customWidth="1"/>
    <col min="9" max="16384" width="9" style="11"/>
  </cols>
  <sheetData>
    <row r="1" spans="1:8" ht="22.5" customHeight="1">
      <c r="B1" s="9" t="s">
        <v>0</v>
      </c>
      <c r="C1" s="9" t="s">
        <v>1</v>
      </c>
      <c r="D1" s="10" t="s">
        <v>2</v>
      </c>
      <c r="E1" s="9" t="s">
        <v>3</v>
      </c>
      <c r="F1" s="9" t="s">
        <v>4</v>
      </c>
      <c r="G1" s="12" t="s">
        <v>5</v>
      </c>
      <c r="H1" s="12" t="s">
        <v>6</v>
      </c>
    </row>
    <row r="2" spans="1:8" ht="22.5" customHeight="1">
      <c r="A2" s="13">
        <v>0.15</v>
      </c>
      <c r="B2" s="14">
        <v>1</v>
      </c>
      <c r="C2" s="14">
        <v>63.3</v>
      </c>
      <c r="D2" s="15">
        <v>1219</v>
      </c>
      <c r="E2" s="14">
        <v>736.3</v>
      </c>
      <c r="F2" s="14">
        <v>1220.2</v>
      </c>
      <c r="G2" s="14">
        <v>6.6</v>
      </c>
      <c r="H2" s="12">
        <v>3.37</v>
      </c>
    </row>
    <row r="3" spans="1:8" ht="22.5" customHeight="1">
      <c r="A3" s="14"/>
      <c r="B3" s="14">
        <v>2</v>
      </c>
      <c r="C3" s="14">
        <v>63.2</v>
      </c>
      <c r="D3" s="15">
        <v>1220.4000000000001</v>
      </c>
      <c r="E3" s="14">
        <v>736.7</v>
      </c>
      <c r="F3" s="14">
        <v>1220.9000000000001</v>
      </c>
      <c r="G3" s="14">
        <v>7.42</v>
      </c>
      <c r="H3" s="12">
        <v>4.13</v>
      </c>
    </row>
    <row r="4" spans="1:8" ht="22.5" customHeight="1">
      <c r="A4" s="13">
        <v>0.2</v>
      </c>
      <c r="B4" s="14">
        <v>1</v>
      </c>
      <c r="C4" s="14">
        <v>62.99</v>
      </c>
      <c r="D4" s="15">
        <v>1223.3</v>
      </c>
      <c r="E4" s="14">
        <v>737.1</v>
      </c>
      <c r="F4" s="14">
        <v>1224.8</v>
      </c>
      <c r="G4" s="14">
        <v>8.33</v>
      </c>
      <c r="H4" s="12">
        <v>3.37</v>
      </c>
    </row>
    <row r="5" spans="1:8" ht="22.5" customHeight="1">
      <c r="A5" s="14"/>
      <c r="B5" s="14">
        <v>2</v>
      </c>
      <c r="C5" s="14">
        <v>62.6</v>
      </c>
      <c r="D5" s="15">
        <v>1218.4000000000001</v>
      </c>
      <c r="E5" s="14">
        <v>735.2</v>
      </c>
      <c r="F5" s="14">
        <v>1219.2</v>
      </c>
      <c r="G5" s="14">
        <v>6.34</v>
      </c>
      <c r="H5" s="12">
        <v>2.52</v>
      </c>
    </row>
    <row r="6" spans="1:8" ht="22.5" customHeight="1">
      <c r="A6" s="13">
        <v>0.25</v>
      </c>
      <c r="B6" s="14">
        <v>1</v>
      </c>
      <c r="C6" s="14">
        <v>62.94</v>
      </c>
      <c r="D6" s="15">
        <v>1220.0999999999999</v>
      </c>
      <c r="E6" s="14">
        <v>736.5</v>
      </c>
      <c r="F6" s="14">
        <v>1222.0999999999999</v>
      </c>
      <c r="G6" s="14">
        <v>6.84</v>
      </c>
      <c r="H6" s="16">
        <v>3</v>
      </c>
    </row>
    <row r="7" spans="1:8" ht="22.5" customHeight="1">
      <c r="A7" s="14"/>
      <c r="B7" s="14">
        <v>2</v>
      </c>
      <c r="C7" s="14">
        <v>63.02</v>
      </c>
      <c r="D7" s="15">
        <v>1220.8</v>
      </c>
      <c r="E7" s="14">
        <v>736.6</v>
      </c>
      <c r="F7" s="14">
        <v>1221.9000000000001</v>
      </c>
      <c r="G7" s="14">
        <v>6.36</v>
      </c>
      <c r="H7" s="12">
        <v>3.61</v>
      </c>
    </row>
    <row r="8" spans="1:8" ht="22.5" customHeight="1">
      <c r="A8" s="13">
        <v>0.3</v>
      </c>
      <c r="B8" s="14">
        <v>1</v>
      </c>
      <c r="C8" s="14">
        <v>62.4</v>
      </c>
      <c r="D8" s="15">
        <v>1220</v>
      </c>
      <c r="E8" s="14">
        <v>735.3</v>
      </c>
      <c r="F8" s="14">
        <v>1221.0999999999999</v>
      </c>
      <c r="G8" s="14">
        <v>6.61</v>
      </c>
      <c r="H8" s="12">
        <v>3.49</v>
      </c>
    </row>
    <row r="9" spans="1:8" ht="22.5" customHeight="1">
      <c r="A9" s="14"/>
      <c r="B9" s="14">
        <v>2</v>
      </c>
      <c r="C9" s="14">
        <v>62.6</v>
      </c>
      <c r="D9" s="15">
        <v>1219.8</v>
      </c>
      <c r="E9" s="14">
        <v>734.9</v>
      </c>
      <c r="F9" s="14">
        <v>1220.9000000000001</v>
      </c>
      <c r="G9" s="14">
        <v>6.59</v>
      </c>
      <c r="H9" s="12">
        <v>3.26</v>
      </c>
    </row>
  </sheetData>
  <phoneticPr fontId="9" type="noConversion"/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Q88"/>
  <sheetViews>
    <sheetView topLeftCell="K1" zoomScale="85" zoomScaleNormal="85" workbookViewId="0">
      <selection activeCell="AC32" sqref="AC32"/>
    </sheetView>
  </sheetViews>
  <sheetFormatPr defaultColWidth="9" defaultRowHeight="15"/>
  <cols>
    <col min="1" max="1" width="9" style="5"/>
    <col min="2" max="3" width="9" style="6"/>
    <col min="4" max="28" width="9" style="5"/>
    <col min="29" max="29" width="19.5703125" style="5" customWidth="1"/>
    <col min="30" max="32" width="9" style="5"/>
    <col min="33" max="33" width="16.85546875" style="5" customWidth="1"/>
    <col min="34" max="35" width="9" style="6"/>
    <col min="36" max="36" width="24" style="5" customWidth="1"/>
    <col min="37" max="16384" width="9" style="5"/>
  </cols>
  <sheetData>
    <row r="1" spans="1:43">
      <c r="A1" s="5" t="s">
        <v>7</v>
      </c>
      <c r="B1" s="6" t="s">
        <v>8</v>
      </c>
      <c r="C1" s="6" t="s">
        <v>9</v>
      </c>
      <c r="E1" s="5" t="s">
        <v>10</v>
      </c>
      <c r="G1" s="5" t="s">
        <v>11</v>
      </c>
      <c r="H1" s="5" t="s">
        <v>12</v>
      </c>
      <c r="I1" s="5" t="s">
        <v>13</v>
      </c>
      <c r="J1" s="5" t="s">
        <v>12</v>
      </c>
      <c r="K1" s="5" t="s">
        <v>14</v>
      </c>
      <c r="L1" s="5" t="s">
        <v>15</v>
      </c>
      <c r="N1" s="5" t="s">
        <v>16</v>
      </c>
      <c r="O1" s="5" t="s">
        <v>12</v>
      </c>
      <c r="P1" s="5" t="s">
        <v>17</v>
      </c>
      <c r="Q1" s="5" t="s">
        <v>12</v>
      </c>
      <c r="R1" s="5" t="s">
        <v>18</v>
      </c>
      <c r="S1" s="5" t="s">
        <v>15</v>
      </c>
      <c r="U1" s="5" t="s">
        <v>19</v>
      </c>
      <c r="V1" s="5" t="s">
        <v>12</v>
      </c>
      <c r="W1" s="5" t="s">
        <v>20</v>
      </c>
      <c r="X1" s="5" t="s">
        <v>12</v>
      </c>
      <c r="Y1" s="5" t="s">
        <v>21</v>
      </c>
      <c r="Z1" s="5" t="s">
        <v>15</v>
      </c>
      <c r="AB1" s="5" t="s">
        <v>22</v>
      </c>
      <c r="AC1" s="5" t="s">
        <v>23</v>
      </c>
      <c r="AD1" s="5" t="s">
        <v>24</v>
      </c>
      <c r="AF1" s="5" t="s">
        <v>25</v>
      </c>
      <c r="AG1" s="5" t="s">
        <v>7</v>
      </c>
      <c r="AH1" s="6" t="s">
        <v>8</v>
      </c>
      <c r="AI1" s="6" t="s">
        <v>9</v>
      </c>
    </row>
    <row r="2" spans="1:43">
      <c r="A2" s="5">
        <v>1</v>
      </c>
      <c r="B2" s="6">
        <v>27</v>
      </c>
      <c r="C2" s="6">
        <v>69</v>
      </c>
      <c r="D2" s="5">
        <f>C2-B2</f>
        <v>42</v>
      </c>
      <c r="E2" s="5">
        <f>B2*144*0.01+144*D2*0.01</f>
        <v>99.36</v>
      </c>
      <c r="G2" s="5">
        <f>E2*0.2</f>
        <v>19.872</v>
      </c>
      <c r="H2" s="5">
        <f>I2*J37</f>
        <v>18.561041194029801</v>
      </c>
      <c r="I2" s="5">
        <f>G2*0.4</f>
        <v>7.9488000000000003</v>
      </c>
      <c r="J2" s="5">
        <f>K2*J37</f>
        <v>27.8415617910448</v>
      </c>
      <c r="K2" s="5">
        <f>G2*0.6</f>
        <v>11.9232</v>
      </c>
      <c r="L2" s="5">
        <f>G2*K37</f>
        <v>476928000</v>
      </c>
      <c r="N2" s="5">
        <f>E2*0.27</f>
        <v>26.827200000000001</v>
      </c>
      <c r="O2" s="5">
        <f>P2*O36</f>
        <v>41.568899406844103</v>
      </c>
      <c r="P2" s="5">
        <f>N2*0.6</f>
        <v>16.096319999999999</v>
      </c>
      <c r="Q2" s="5">
        <f>R2*O36</f>
        <v>27.712599604562701</v>
      </c>
      <c r="R2" s="5">
        <f>N2*0.4</f>
        <v>10.730880000000001</v>
      </c>
      <c r="S2" s="5">
        <f>N2*P36</f>
        <v>673362720</v>
      </c>
      <c r="U2" s="5">
        <f>E2*0.53</f>
        <v>52.660800000000002</v>
      </c>
      <c r="V2" s="5">
        <f>W2*U36</f>
        <v>58.763148338028202</v>
      </c>
      <c r="W2" s="5">
        <f>U2*0.43</f>
        <v>22.644144000000001</v>
      </c>
      <c r="X2" s="5">
        <f>Y2*U36</f>
        <v>77.895336169014101</v>
      </c>
      <c r="Y2" s="5">
        <f>U2*0.57</f>
        <v>30.016656000000001</v>
      </c>
      <c r="Z2" s="5">
        <f>U2*V36</f>
        <v>1332977131.9296</v>
      </c>
      <c r="AB2" s="5">
        <f>Y2+W2+R2+P2+I2</f>
        <v>87.436800000000005</v>
      </c>
      <c r="AC2" s="5">
        <v>3951</v>
      </c>
      <c r="AD2" s="5">
        <f>H2+J2+O2+Q2+V2+X2</f>
        <v>252.34258650352399</v>
      </c>
      <c r="AF2" s="5">
        <f>Z2+S2+L2</f>
        <v>2483267851.9295998</v>
      </c>
      <c r="AG2" s="5">
        <v>1</v>
      </c>
      <c r="AH2" s="6">
        <v>34.3767</v>
      </c>
      <c r="AI2" s="6">
        <v>39.502299999999998</v>
      </c>
      <c r="AJ2" s="5">
        <f>AH2+AI2</f>
        <v>73.879000000000005</v>
      </c>
      <c r="AK2" s="5">
        <v>63.878999999999998</v>
      </c>
      <c r="AN2" s="5">
        <v>5.1256000000000004</v>
      </c>
      <c r="AO2" s="5">
        <v>42</v>
      </c>
      <c r="AP2" s="6">
        <v>27</v>
      </c>
      <c r="AQ2" s="5">
        <f>AP2+AO2</f>
        <v>69</v>
      </c>
    </row>
    <row r="3" spans="1:43">
      <c r="A3" s="5">
        <v>2</v>
      </c>
      <c r="B3" s="6">
        <v>7.1</v>
      </c>
      <c r="C3" s="6">
        <v>20.289290000000001</v>
      </c>
      <c r="D3" s="5">
        <v>14.788399999999999</v>
      </c>
      <c r="E3" s="5">
        <f t="shared" ref="E3:E31" si="0">B3*144*0.01+144*D3*0.01</f>
        <v>31.519296000000001</v>
      </c>
      <c r="G3" s="5">
        <f t="shared" ref="G3:G31" si="1">E3*0.2</f>
        <v>6.3038591999999998</v>
      </c>
      <c r="H3" s="5">
        <f t="shared" ref="H3:H31" si="2">I3*J38</f>
        <v>3.45516139126154</v>
      </c>
      <c r="I3" s="5">
        <f t="shared" ref="I3:I31" si="3">G3*0.4</f>
        <v>2.5215436800000002</v>
      </c>
      <c r="J3" s="5">
        <f t="shared" ref="J3:J31" si="4">K3*J38</f>
        <v>5.1827420868923104</v>
      </c>
      <c r="K3" s="5">
        <f t="shared" ref="K3:K31" si="5">G3*0.6</f>
        <v>3.78231552</v>
      </c>
      <c r="L3" s="5">
        <f t="shared" ref="L3:L31" si="6">G3*K38</f>
        <v>88780752.910651296</v>
      </c>
      <c r="N3" s="5">
        <f t="shared" ref="N3:N31" si="7">E3*0.27</f>
        <v>8.5102099199999994</v>
      </c>
      <c r="O3" s="5">
        <f t="shared" ref="O3:O31" si="8">P3*O37</f>
        <v>6.0689954172342899</v>
      </c>
      <c r="P3" s="5">
        <f t="shared" ref="P3:P31" si="9">N3*0.6</f>
        <v>5.1061259520000002</v>
      </c>
      <c r="Q3" s="5">
        <f t="shared" ref="Q3:Q31" si="10">R3*O37</f>
        <v>4.0459969448228597</v>
      </c>
      <c r="R3" s="5">
        <f t="shared" ref="R3:R31" si="11">N3*0.4</f>
        <v>3.4040839680000001</v>
      </c>
      <c r="S3" s="5">
        <f t="shared" ref="S3:S31" si="12">N3*P37</f>
        <v>98309922.084287301</v>
      </c>
      <c r="U3" s="5">
        <f t="shared" ref="U3:U31" si="13">E3*0.53</f>
        <v>16.705226880000001</v>
      </c>
      <c r="V3" s="5">
        <f t="shared" ref="V3:V31" si="14">W3*U37</f>
        <v>8.0392822415254006</v>
      </c>
      <c r="W3" s="5">
        <f t="shared" ref="W3:W31" si="15">U3*0.43</f>
        <v>7.1832475583999997</v>
      </c>
      <c r="X3" s="5">
        <f t="shared" ref="X3:X31" si="16">Y3*U37</f>
        <v>10.656722971324401</v>
      </c>
      <c r="Y3" s="5">
        <f t="shared" ref="Y3:Y31" si="17">U3*0.57</f>
        <v>9.5219793215999999</v>
      </c>
      <c r="Z3" s="5">
        <f t="shared" ref="Z3:Z31" si="18">U3*V37</f>
        <v>182362240.420434</v>
      </c>
      <c r="AB3" s="5">
        <f t="shared" ref="AB3:AB31" si="19">Y3+W3+R3+P3+I3</f>
        <v>27.73698048</v>
      </c>
      <c r="AC3" s="5">
        <f t="shared" ref="AC3:AC31" si="20">AB3*31.2</f>
        <v>865.39379097599999</v>
      </c>
      <c r="AD3" s="5">
        <f t="shared" ref="AD3:AD31" si="21">H3+J3+O3+Q3+V3+X3</f>
        <v>37.448901053060801</v>
      </c>
      <c r="AF3" s="5">
        <f t="shared" ref="AF3:AF31" si="22">Z3+S3+L3</f>
        <v>369452915.41537201</v>
      </c>
      <c r="AG3" s="5">
        <v>2</v>
      </c>
      <c r="AH3" s="6">
        <v>11.83287</v>
      </c>
      <c r="AI3" s="6">
        <v>27.209669999999999</v>
      </c>
      <c r="AJ3" s="5">
        <f t="shared" ref="AJ3:AJ31" si="23">AH3+AI3</f>
        <v>39.042540000000002</v>
      </c>
      <c r="AK3" s="5">
        <v>39.042540000000002</v>
      </c>
      <c r="AN3" s="5">
        <v>15.376799999999999</v>
      </c>
      <c r="AO3" s="5">
        <f t="shared" ref="AO3:AO31" si="24">AN3/2</f>
        <v>7.6883999999999997</v>
      </c>
      <c r="AP3" s="6">
        <v>7.1</v>
      </c>
      <c r="AQ3" s="5">
        <f t="shared" ref="AQ3:AQ31" si="25">AP3+AO3</f>
        <v>14.788399999999999</v>
      </c>
    </row>
    <row r="4" spans="1:43">
      <c r="A4" s="5">
        <v>3</v>
      </c>
      <c r="B4" s="6">
        <v>6.9</v>
      </c>
      <c r="C4" s="6">
        <v>42.243560000000002</v>
      </c>
      <c r="D4" s="5">
        <v>9.6977799999999998</v>
      </c>
      <c r="E4" s="5">
        <f t="shared" si="0"/>
        <v>23.900803199999999</v>
      </c>
      <c r="G4" s="5">
        <f t="shared" si="1"/>
        <v>4.7801606400000001</v>
      </c>
      <c r="H4" s="5">
        <f t="shared" si="2"/>
        <v>1.7993664289907301</v>
      </c>
      <c r="I4" s="5">
        <f t="shared" si="3"/>
        <v>1.9120642560000001</v>
      </c>
      <c r="J4" s="5">
        <f t="shared" si="4"/>
        <v>2.6990496434860902</v>
      </c>
      <c r="K4" s="5">
        <f t="shared" si="5"/>
        <v>2.8680963840000002</v>
      </c>
      <c r="L4" s="5">
        <f t="shared" si="6"/>
        <v>46234918.789023601</v>
      </c>
      <c r="N4" s="5">
        <f t="shared" si="7"/>
        <v>6.4532168639999998</v>
      </c>
      <c r="O4" s="5">
        <f t="shared" si="8"/>
        <v>4.0071721794566804</v>
      </c>
      <c r="P4" s="5">
        <f t="shared" si="9"/>
        <v>3.8719301183999999</v>
      </c>
      <c r="Q4" s="5">
        <f t="shared" si="10"/>
        <v>2.6714481196377902</v>
      </c>
      <c r="R4" s="5">
        <f t="shared" si="11"/>
        <v>2.5812867455999999</v>
      </c>
      <c r="S4" s="5">
        <f t="shared" si="12"/>
        <v>64911036.779170103</v>
      </c>
      <c r="U4" s="5">
        <f t="shared" si="13"/>
        <v>12.667425696</v>
      </c>
      <c r="V4" s="5">
        <f t="shared" si="14"/>
        <v>4.4857589817600001</v>
      </c>
      <c r="W4" s="5">
        <f t="shared" si="15"/>
        <v>5.4469930492799996</v>
      </c>
      <c r="X4" s="5">
        <f t="shared" si="16"/>
        <v>5.9462386502399998</v>
      </c>
      <c r="Y4" s="5">
        <f t="shared" si="17"/>
        <v>7.22043264672</v>
      </c>
      <c r="Z4" s="5">
        <f t="shared" si="18"/>
        <v>101754489.18492299</v>
      </c>
      <c r="AB4" s="5">
        <f t="shared" si="19"/>
        <v>21.032706816000001</v>
      </c>
      <c r="AC4" s="5">
        <f t="shared" si="20"/>
        <v>656.22045265919996</v>
      </c>
      <c r="AD4" s="5">
        <f t="shared" si="21"/>
        <v>21.609034003571299</v>
      </c>
      <c r="AF4" s="5">
        <f t="shared" si="22"/>
        <v>212900444.75311601</v>
      </c>
      <c r="AG4" s="5">
        <v>3</v>
      </c>
      <c r="AH4" s="6">
        <v>13.97711</v>
      </c>
      <c r="AI4" s="6">
        <v>19.572669999999999</v>
      </c>
      <c r="AJ4" s="5">
        <f t="shared" si="23"/>
        <v>33.549779999999998</v>
      </c>
      <c r="AK4" s="5">
        <v>33.549779999999998</v>
      </c>
      <c r="AN4" s="5">
        <v>5.5955599999999999</v>
      </c>
      <c r="AO4" s="5">
        <f t="shared" si="24"/>
        <v>2.7977799999999999</v>
      </c>
      <c r="AP4" s="6">
        <v>6.9</v>
      </c>
      <c r="AQ4" s="5">
        <f t="shared" si="25"/>
        <v>9.6977799999999998</v>
      </c>
    </row>
    <row r="5" spans="1:43">
      <c r="A5" s="5">
        <v>4</v>
      </c>
      <c r="B5" s="6">
        <v>10.9</v>
      </c>
      <c r="C5" s="6">
        <v>37.646880000000003</v>
      </c>
      <c r="D5" s="5">
        <v>14.06495</v>
      </c>
      <c r="E5" s="5">
        <f t="shared" si="0"/>
        <v>35.949528000000001</v>
      </c>
      <c r="G5" s="5">
        <f t="shared" si="1"/>
        <v>7.1899056000000003</v>
      </c>
      <c r="H5" s="5">
        <f t="shared" si="2"/>
        <v>2.4747052328622798</v>
      </c>
      <c r="I5" s="5">
        <f t="shared" si="3"/>
        <v>2.8759622399999998</v>
      </c>
      <c r="J5" s="5">
        <f t="shared" si="4"/>
        <v>3.71205784929341</v>
      </c>
      <c r="K5" s="5">
        <f t="shared" si="5"/>
        <v>4.3139433599999997</v>
      </c>
      <c r="L5" s="5">
        <f t="shared" si="6"/>
        <v>63587823.816595502</v>
      </c>
      <c r="N5" s="5">
        <f t="shared" si="7"/>
        <v>9.7063725600000001</v>
      </c>
      <c r="O5" s="5">
        <f t="shared" si="8"/>
        <v>5.0811883199999999</v>
      </c>
      <c r="P5" s="5">
        <f t="shared" si="9"/>
        <v>5.8238235359999999</v>
      </c>
      <c r="Q5" s="5">
        <f t="shared" si="10"/>
        <v>3.3874588800000001</v>
      </c>
      <c r="R5" s="5">
        <f t="shared" si="11"/>
        <v>3.8825490239999998</v>
      </c>
      <c r="S5" s="5">
        <f t="shared" si="12"/>
        <v>82308717.257597193</v>
      </c>
      <c r="U5" s="5">
        <f t="shared" si="13"/>
        <v>19.053249839999999</v>
      </c>
      <c r="V5" s="5">
        <f t="shared" si="14"/>
        <v>6.6756942032</v>
      </c>
      <c r="W5" s="5">
        <f t="shared" si="15"/>
        <v>8.1928974312000005</v>
      </c>
      <c r="X5" s="5">
        <f t="shared" si="16"/>
        <v>8.8491760367999994</v>
      </c>
      <c r="Y5" s="5">
        <f t="shared" si="17"/>
        <v>10.860352408800001</v>
      </c>
      <c r="Z5" s="5">
        <f t="shared" si="18"/>
        <v>151430751.487867</v>
      </c>
      <c r="AB5" s="5">
        <f t="shared" si="19"/>
        <v>31.635584640000001</v>
      </c>
      <c r="AC5" s="5">
        <f t="shared" si="20"/>
        <v>987.030240768</v>
      </c>
      <c r="AD5" s="5">
        <f t="shared" si="21"/>
        <v>30.180280522155702</v>
      </c>
      <c r="AF5" s="5">
        <f t="shared" si="22"/>
        <v>297327292.56206</v>
      </c>
      <c r="AG5" s="5">
        <v>4</v>
      </c>
      <c r="AH5" s="6">
        <v>26.548780000000001</v>
      </c>
      <c r="AI5" s="6">
        <v>20.218879999999999</v>
      </c>
      <c r="AJ5" s="5">
        <f t="shared" si="23"/>
        <v>46.767659999999999</v>
      </c>
      <c r="AK5" s="5">
        <v>46.767659999999999</v>
      </c>
      <c r="AN5" s="5">
        <v>6.3299000000000003</v>
      </c>
      <c r="AO5" s="5">
        <f t="shared" si="24"/>
        <v>3.1649500000000002</v>
      </c>
      <c r="AP5" s="6">
        <v>10.9</v>
      </c>
      <c r="AQ5" s="5">
        <f t="shared" si="25"/>
        <v>14.06495</v>
      </c>
    </row>
    <row r="6" spans="1:43">
      <c r="A6" s="5">
        <v>5</v>
      </c>
      <c r="B6" s="6">
        <v>8.6</v>
      </c>
      <c r="C6" s="6">
        <v>45.262270000000001</v>
      </c>
      <c r="D6" s="5">
        <v>9.6207200000000004</v>
      </c>
      <c r="E6" s="5">
        <f t="shared" si="0"/>
        <v>26.2378368</v>
      </c>
      <c r="G6" s="5">
        <f t="shared" si="1"/>
        <v>5.2475673599999997</v>
      </c>
      <c r="H6" s="5">
        <f t="shared" si="2"/>
        <v>2.0776083017142901</v>
      </c>
      <c r="I6" s="5">
        <f t="shared" si="3"/>
        <v>2.0990269439999998</v>
      </c>
      <c r="J6" s="5">
        <f t="shared" si="4"/>
        <v>3.1164124525714301</v>
      </c>
      <c r="K6" s="5">
        <f t="shared" si="5"/>
        <v>3.1485404159999999</v>
      </c>
      <c r="L6" s="5">
        <f t="shared" si="6"/>
        <v>53384374.387289502</v>
      </c>
      <c r="N6" s="5">
        <f t="shared" si="7"/>
        <v>7.0842159359999997</v>
      </c>
      <c r="O6" s="5">
        <f t="shared" si="8"/>
        <v>4.0670534654158299</v>
      </c>
      <c r="P6" s="5">
        <f t="shared" si="9"/>
        <v>4.2505295615999996</v>
      </c>
      <c r="Q6" s="5">
        <f t="shared" si="10"/>
        <v>2.71136897694389</v>
      </c>
      <c r="R6" s="5">
        <f t="shared" si="11"/>
        <v>2.8336863744</v>
      </c>
      <c r="S6" s="5">
        <f t="shared" si="12"/>
        <v>65881036.614766203</v>
      </c>
      <c r="U6" s="5">
        <f t="shared" si="13"/>
        <v>13.906053504000001</v>
      </c>
      <c r="V6" s="5">
        <f t="shared" si="14"/>
        <v>4.8353579869155601</v>
      </c>
      <c r="W6" s="5">
        <f t="shared" si="15"/>
        <v>5.9796030067199997</v>
      </c>
      <c r="X6" s="5">
        <f t="shared" si="16"/>
        <v>6.4096605873066697</v>
      </c>
      <c r="Y6" s="5">
        <f t="shared" si="17"/>
        <v>7.9264504972800003</v>
      </c>
      <c r="Z6" s="5">
        <f t="shared" si="18"/>
        <v>109684756.578648</v>
      </c>
      <c r="AB6" s="5">
        <f t="shared" si="19"/>
        <v>23.089296384000001</v>
      </c>
      <c r="AC6" s="5">
        <f t="shared" si="20"/>
        <v>720.38604718080001</v>
      </c>
      <c r="AD6" s="5">
        <f t="shared" si="21"/>
        <v>23.2174617708677</v>
      </c>
      <c r="AF6" s="5">
        <f t="shared" si="22"/>
        <v>228950167.58070299</v>
      </c>
      <c r="AG6" s="5">
        <v>5</v>
      </c>
      <c r="AH6" s="6">
        <v>23.567409999999999</v>
      </c>
      <c r="AI6" s="6">
        <v>21.525980000000001</v>
      </c>
      <c r="AJ6" s="5">
        <f t="shared" si="23"/>
        <v>45.093389999999999</v>
      </c>
      <c r="AK6" s="5">
        <v>45.093389999999999</v>
      </c>
      <c r="AN6" s="5">
        <v>2.0414300000000001</v>
      </c>
      <c r="AO6" s="5">
        <f t="shared" si="24"/>
        <v>1.020715</v>
      </c>
      <c r="AP6" s="6">
        <v>8.6</v>
      </c>
      <c r="AQ6" s="5">
        <f t="shared" si="25"/>
        <v>9.6207150000000006</v>
      </c>
    </row>
    <row r="7" spans="1:43">
      <c r="A7" s="5">
        <v>6</v>
      </c>
      <c r="B7" s="6">
        <v>11.6</v>
      </c>
      <c r="C7" s="6">
        <v>44.256030000000003</v>
      </c>
      <c r="D7" s="5">
        <v>15.043990000000001</v>
      </c>
      <c r="E7" s="5">
        <f t="shared" si="0"/>
        <v>38.3673456</v>
      </c>
      <c r="G7" s="5">
        <f t="shared" si="1"/>
        <v>7.67346912</v>
      </c>
      <c r="H7" s="5">
        <f t="shared" si="2"/>
        <v>7.1672492168597</v>
      </c>
      <c r="I7" s="5">
        <f t="shared" si="3"/>
        <v>3.0693876480000002</v>
      </c>
      <c r="J7" s="5">
        <f t="shared" si="4"/>
        <v>10.750873825289499</v>
      </c>
      <c r="K7" s="5">
        <f t="shared" si="5"/>
        <v>4.6040814719999998</v>
      </c>
      <c r="L7" s="5">
        <f t="shared" si="6"/>
        <v>184163258.88</v>
      </c>
      <c r="N7" s="5">
        <f t="shared" si="7"/>
        <v>10.359183312000001</v>
      </c>
      <c r="O7" s="5">
        <f t="shared" si="8"/>
        <v>16.051613624738501</v>
      </c>
      <c r="P7" s="5">
        <f t="shared" si="9"/>
        <v>6.2155099871999999</v>
      </c>
      <c r="Q7" s="5">
        <f t="shared" si="10"/>
        <v>10.7010757498257</v>
      </c>
      <c r="R7" s="5">
        <f t="shared" si="11"/>
        <v>4.1436733247999999</v>
      </c>
      <c r="S7" s="5">
        <f t="shared" si="12"/>
        <v>260015501.13119999</v>
      </c>
      <c r="U7" s="5">
        <f t="shared" si="13"/>
        <v>20.334693168000001</v>
      </c>
      <c r="V7" s="5">
        <f t="shared" si="14"/>
        <v>22.691083140390401</v>
      </c>
      <c r="W7" s="5">
        <f t="shared" si="15"/>
        <v>8.7439180622400006</v>
      </c>
      <c r="X7" s="5">
        <f t="shared" si="16"/>
        <v>30.078877651215201</v>
      </c>
      <c r="Y7" s="5">
        <f t="shared" si="17"/>
        <v>11.590775105760001</v>
      </c>
      <c r="Z7" s="5">
        <f t="shared" si="18"/>
        <v>514722164.83131802</v>
      </c>
      <c r="AB7" s="5">
        <f t="shared" si="19"/>
        <v>33.763264128000003</v>
      </c>
      <c r="AC7" s="5">
        <f t="shared" si="20"/>
        <v>1053.4138407936</v>
      </c>
      <c r="AD7" s="5">
        <f t="shared" si="21"/>
        <v>97.440773208319101</v>
      </c>
      <c r="AF7" s="5">
        <f t="shared" si="22"/>
        <v>958900924.84251797</v>
      </c>
      <c r="AG7" s="5">
        <v>6</v>
      </c>
      <c r="AH7" s="6">
        <v>23.949259999999999</v>
      </c>
      <c r="AI7" s="6">
        <v>30.837240000000001</v>
      </c>
      <c r="AJ7" s="5">
        <f t="shared" si="23"/>
        <v>54.786499999999997</v>
      </c>
      <c r="AK7" s="5">
        <v>54.786499999999997</v>
      </c>
      <c r="AN7" s="5">
        <v>6.8879799999999998</v>
      </c>
      <c r="AO7" s="5">
        <f t="shared" si="24"/>
        <v>3.4439899999999999</v>
      </c>
      <c r="AP7" s="6">
        <v>11.6</v>
      </c>
      <c r="AQ7" s="5">
        <f t="shared" si="25"/>
        <v>15.043990000000001</v>
      </c>
    </row>
    <row r="8" spans="1:43">
      <c r="A8" s="5">
        <v>7</v>
      </c>
      <c r="B8" s="6">
        <v>14.5</v>
      </c>
      <c r="C8" s="6">
        <v>45.262270000000001</v>
      </c>
      <c r="D8" s="5">
        <v>14.5</v>
      </c>
      <c r="E8" s="5">
        <f t="shared" si="0"/>
        <v>41.76</v>
      </c>
      <c r="G8" s="5">
        <f t="shared" si="1"/>
        <v>8.3520000000000003</v>
      </c>
      <c r="H8" s="5">
        <f t="shared" si="2"/>
        <v>4.57775261538462</v>
      </c>
      <c r="I8" s="5">
        <f t="shared" si="3"/>
        <v>3.3408000000000002</v>
      </c>
      <c r="J8" s="5">
        <f t="shared" si="4"/>
        <v>6.8666289230769202</v>
      </c>
      <c r="K8" s="5">
        <f t="shared" si="5"/>
        <v>5.0111999999999997</v>
      </c>
      <c r="L8" s="5">
        <f t="shared" si="6"/>
        <v>117625858.19013201</v>
      </c>
      <c r="N8" s="5">
        <f t="shared" si="7"/>
        <v>11.2752</v>
      </c>
      <c r="O8" s="5">
        <f t="shared" si="8"/>
        <v>8.0408283428571501</v>
      </c>
      <c r="P8" s="5">
        <f t="shared" si="9"/>
        <v>6.7651199999999996</v>
      </c>
      <c r="Q8" s="5">
        <f t="shared" si="10"/>
        <v>5.3605522285714304</v>
      </c>
      <c r="R8" s="5">
        <f t="shared" si="11"/>
        <v>4.5100800000000003</v>
      </c>
      <c r="S8" s="5">
        <f t="shared" si="12"/>
        <v>130251080.044422</v>
      </c>
      <c r="U8" s="5">
        <f t="shared" si="13"/>
        <v>22.1328</v>
      </c>
      <c r="V8" s="5">
        <f t="shared" si="14"/>
        <v>10.651266652849801</v>
      </c>
      <c r="W8" s="5">
        <f t="shared" si="15"/>
        <v>9.5171039999999998</v>
      </c>
      <c r="X8" s="5">
        <f t="shared" si="16"/>
        <v>14.119120911917101</v>
      </c>
      <c r="Y8" s="5">
        <f t="shared" si="17"/>
        <v>12.615696</v>
      </c>
      <c r="Z8" s="5">
        <f t="shared" si="18"/>
        <v>241612222.55590099</v>
      </c>
      <c r="AB8" s="5">
        <f t="shared" si="19"/>
        <v>36.748800000000003</v>
      </c>
      <c r="AC8" s="5">
        <f t="shared" si="20"/>
        <v>1146.5625600000001</v>
      </c>
      <c r="AD8" s="5">
        <f t="shared" si="21"/>
        <v>49.616149674657002</v>
      </c>
      <c r="AF8" s="5">
        <f t="shared" si="22"/>
        <v>489489160.79045498</v>
      </c>
      <c r="AG8" s="5">
        <v>7</v>
      </c>
      <c r="AH8" s="6">
        <v>27.855879999999999</v>
      </c>
      <c r="AI8" s="6">
        <v>28.223040000000001</v>
      </c>
      <c r="AJ8" s="5">
        <f t="shared" si="23"/>
        <v>56.078919999999997</v>
      </c>
      <c r="AK8" s="5">
        <v>56.078919999999997</v>
      </c>
      <c r="AN8" s="5">
        <v>0.36716000000000198</v>
      </c>
      <c r="AO8" s="5">
        <v>0</v>
      </c>
      <c r="AP8" s="6">
        <v>14.5</v>
      </c>
      <c r="AQ8" s="5">
        <f t="shared" si="25"/>
        <v>14.5</v>
      </c>
    </row>
    <row r="9" spans="1:43">
      <c r="A9" s="5">
        <v>8</v>
      </c>
      <c r="B9" s="6">
        <v>7.3</v>
      </c>
      <c r="C9" s="6">
        <v>46.405720000000002</v>
      </c>
      <c r="D9" s="5">
        <v>8.7466200000000001</v>
      </c>
      <c r="E9" s="5">
        <f t="shared" si="0"/>
        <v>23.107132799999999</v>
      </c>
      <c r="G9" s="5">
        <f t="shared" si="1"/>
        <v>4.6214265599999997</v>
      </c>
      <c r="H9" s="5">
        <f t="shared" si="2"/>
        <v>1.7396151368900701</v>
      </c>
      <c r="I9" s="5">
        <f t="shared" si="3"/>
        <v>1.8485706239999999</v>
      </c>
      <c r="J9" s="5">
        <f t="shared" si="4"/>
        <v>2.6094227053351</v>
      </c>
      <c r="K9" s="5">
        <f t="shared" si="5"/>
        <v>2.772855936</v>
      </c>
      <c r="L9" s="5">
        <f t="shared" si="6"/>
        <v>44699602.750387199</v>
      </c>
      <c r="N9" s="5">
        <f t="shared" si="7"/>
        <v>6.2389258559999998</v>
      </c>
      <c r="O9" s="5">
        <f t="shared" si="8"/>
        <v>3.87410661174646</v>
      </c>
      <c r="P9" s="5">
        <f t="shared" si="9"/>
        <v>3.7433555136000001</v>
      </c>
      <c r="Q9" s="5">
        <f t="shared" si="10"/>
        <v>2.5827377411643102</v>
      </c>
      <c r="R9" s="5">
        <f t="shared" si="11"/>
        <v>2.4955703424000002</v>
      </c>
      <c r="S9" s="5">
        <f t="shared" si="12"/>
        <v>62755545.681492701</v>
      </c>
      <c r="U9" s="5">
        <f t="shared" si="13"/>
        <v>12.246780383999999</v>
      </c>
      <c r="V9" s="5">
        <f t="shared" si="14"/>
        <v>4.33680105362824</v>
      </c>
      <c r="W9" s="5">
        <f t="shared" si="15"/>
        <v>5.2661155651199998</v>
      </c>
      <c r="X9" s="5">
        <f t="shared" si="16"/>
        <v>5.7487827920188304</v>
      </c>
      <c r="Y9" s="5">
        <f t="shared" si="17"/>
        <v>6.9806648188800002</v>
      </c>
      <c r="Z9" s="5">
        <f t="shared" si="18"/>
        <v>98375543.069287807</v>
      </c>
      <c r="AB9" s="5">
        <f t="shared" si="19"/>
        <v>20.334276864</v>
      </c>
      <c r="AC9" s="5">
        <f t="shared" si="20"/>
        <v>634.42943815679996</v>
      </c>
      <c r="AD9" s="5">
        <f t="shared" si="21"/>
        <v>20.891466040783001</v>
      </c>
      <c r="AF9" s="5">
        <f t="shared" si="22"/>
        <v>205830691.50116801</v>
      </c>
      <c r="AG9" s="5">
        <v>8</v>
      </c>
      <c r="AH9" s="6">
        <v>25.153559999999999</v>
      </c>
      <c r="AI9" s="6">
        <v>28.046800000000001</v>
      </c>
      <c r="AJ9" s="5">
        <f t="shared" si="23"/>
        <v>53.200360000000003</v>
      </c>
      <c r="AK9" s="5">
        <v>53.200360000000003</v>
      </c>
      <c r="AN9" s="5">
        <v>2.89324</v>
      </c>
      <c r="AO9" s="5">
        <f t="shared" si="24"/>
        <v>1.44662</v>
      </c>
      <c r="AP9" s="6">
        <v>7.3</v>
      </c>
      <c r="AQ9" s="5">
        <f t="shared" si="25"/>
        <v>8.7466200000000001</v>
      </c>
    </row>
    <row r="10" spans="1:43">
      <c r="A10" s="5">
        <v>9</v>
      </c>
      <c r="B10" s="6">
        <v>6.8</v>
      </c>
      <c r="C10" s="6">
        <v>47.25188</v>
      </c>
      <c r="D10" s="5">
        <v>8.2906899999999997</v>
      </c>
      <c r="E10" s="5">
        <f t="shared" si="0"/>
        <v>21.730593599999999</v>
      </c>
      <c r="G10" s="5">
        <f t="shared" si="1"/>
        <v>4.3461187199999998</v>
      </c>
      <c r="H10" s="5">
        <f t="shared" si="2"/>
        <v>1.4958976288958099</v>
      </c>
      <c r="I10" s="5">
        <f t="shared" si="3"/>
        <v>1.738447488</v>
      </c>
      <c r="J10" s="5">
        <f t="shared" si="4"/>
        <v>2.2438464433437102</v>
      </c>
      <c r="K10" s="5">
        <f t="shared" si="5"/>
        <v>2.607671232</v>
      </c>
      <c r="L10" s="5">
        <f t="shared" si="6"/>
        <v>38437254.510458</v>
      </c>
      <c r="N10" s="5">
        <f t="shared" si="7"/>
        <v>5.8672602720000002</v>
      </c>
      <c r="O10" s="5">
        <f t="shared" si="8"/>
        <v>3.07145168601342</v>
      </c>
      <c r="P10" s="5">
        <f t="shared" si="9"/>
        <v>3.5203561632000002</v>
      </c>
      <c r="Q10" s="5">
        <f t="shared" si="10"/>
        <v>2.04763445734228</v>
      </c>
      <c r="R10" s="5">
        <f t="shared" si="11"/>
        <v>2.3469041088</v>
      </c>
      <c r="S10" s="5">
        <f t="shared" si="12"/>
        <v>49753567.959561303</v>
      </c>
      <c r="U10" s="5">
        <f t="shared" si="13"/>
        <v>11.517214608</v>
      </c>
      <c r="V10" s="5">
        <f t="shared" si="14"/>
        <v>4.0352907478400004</v>
      </c>
      <c r="W10" s="5">
        <f t="shared" si="15"/>
        <v>4.9524022814400004</v>
      </c>
      <c r="X10" s="5">
        <f t="shared" si="16"/>
        <v>5.3491063401599996</v>
      </c>
      <c r="Y10" s="5">
        <f t="shared" si="17"/>
        <v>6.5648123265600002</v>
      </c>
      <c r="Z10" s="5">
        <f t="shared" si="18"/>
        <v>91536114.719654396</v>
      </c>
      <c r="AB10" s="5">
        <f t="shared" si="19"/>
        <v>19.122922368000001</v>
      </c>
      <c r="AC10" s="5">
        <f t="shared" si="20"/>
        <v>596.63517788160004</v>
      </c>
      <c r="AD10" s="5">
        <f t="shared" si="21"/>
        <v>18.243227303595202</v>
      </c>
      <c r="AF10" s="5">
        <f t="shared" si="22"/>
        <v>179726937.18967399</v>
      </c>
      <c r="AG10" s="5">
        <v>9</v>
      </c>
      <c r="AH10" s="6">
        <v>27.385909999999999</v>
      </c>
      <c r="AI10" s="6">
        <v>30.367280000000001</v>
      </c>
      <c r="AJ10" s="5">
        <f t="shared" si="23"/>
        <v>57.753189999999996</v>
      </c>
      <c r="AK10" s="5">
        <v>57.753189999999996</v>
      </c>
      <c r="AN10" s="5">
        <v>2.9813700000000001</v>
      </c>
      <c r="AO10" s="5">
        <f t="shared" si="24"/>
        <v>1.490685</v>
      </c>
      <c r="AP10" s="6">
        <v>6.8</v>
      </c>
      <c r="AQ10" s="5">
        <f t="shared" si="25"/>
        <v>8.2906849999999999</v>
      </c>
    </row>
    <row r="11" spans="1:43">
      <c r="A11" s="5">
        <v>10</v>
      </c>
      <c r="B11" s="6">
        <v>9.1999999999999993</v>
      </c>
      <c r="C11" s="6">
        <v>42.243560000000002</v>
      </c>
      <c r="D11" s="5">
        <v>10.272119999999999</v>
      </c>
      <c r="E11" s="5">
        <f t="shared" si="0"/>
        <v>28.039852799999998</v>
      </c>
      <c r="G11" s="5">
        <f t="shared" si="1"/>
        <v>5.60797056</v>
      </c>
      <c r="H11" s="5">
        <f t="shared" si="2"/>
        <v>2.2202985482448998</v>
      </c>
      <c r="I11" s="5">
        <f t="shared" si="3"/>
        <v>2.2431882239999998</v>
      </c>
      <c r="J11" s="5">
        <f t="shared" si="4"/>
        <v>3.3304478223673502</v>
      </c>
      <c r="K11" s="5">
        <f t="shared" si="5"/>
        <v>3.3647823360000002</v>
      </c>
      <c r="L11" s="5">
        <f t="shared" si="6"/>
        <v>57050816.004758701</v>
      </c>
      <c r="N11" s="5">
        <f t="shared" si="7"/>
        <v>7.5707602559999998</v>
      </c>
      <c r="O11" s="5">
        <f t="shared" si="8"/>
        <v>4.3463789095597098</v>
      </c>
      <c r="P11" s="5">
        <f t="shared" si="9"/>
        <v>4.5424561535999999</v>
      </c>
      <c r="Q11" s="5">
        <f t="shared" si="10"/>
        <v>2.89758593970648</v>
      </c>
      <c r="R11" s="5">
        <f t="shared" si="11"/>
        <v>3.0283041023999999</v>
      </c>
      <c r="S11" s="5">
        <f t="shared" si="12"/>
        <v>70405749.645849407</v>
      </c>
      <c r="U11" s="5">
        <f t="shared" si="13"/>
        <v>14.861121984</v>
      </c>
      <c r="V11" s="5">
        <f t="shared" si="14"/>
        <v>5.1674506256711101</v>
      </c>
      <c r="W11" s="5">
        <f t="shared" si="15"/>
        <v>6.3902824531200002</v>
      </c>
      <c r="X11" s="5">
        <f t="shared" si="16"/>
        <v>6.8498764107733301</v>
      </c>
      <c r="Y11" s="5">
        <f t="shared" si="17"/>
        <v>8.4708395308799993</v>
      </c>
      <c r="Z11" s="5">
        <f t="shared" si="18"/>
        <v>117217911.38167</v>
      </c>
      <c r="AB11" s="5">
        <f t="shared" si="19"/>
        <v>24.675070464000001</v>
      </c>
      <c r="AC11" s="5">
        <f t="shared" si="20"/>
        <v>769.86219847680002</v>
      </c>
      <c r="AD11" s="5">
        <f t="shared" si="21"/>
        <v>24.8120382563229</v>
      </c>
      <c r="AF11" s="5">
        <f t="shared" si="22"/>
        <v>244674477.032278</v>
      </c>
      <c r="AG11" s="5">
        <v>10</v>
      </c>
      <c r="AH11" s="6">
        <v>27.664950000000001</v>
      </c>
      <c r="AI11" s="6">
        <v>29.809190000000001</v>
      </c>
      <c r="AJ11" s="5">
        <f t="shared" si="23"/>
        <v>57.474139999999998</v>
      </c>
      <c r="AK11" s="5">
        <v>57.474139999999998</v>
      </c>
      <c r="AN11" s="5">
        <v>2.1442399999999999</v>
      </c>
      <c r="AO11" s="5">
        <f t="shared" si="24"/>
        <v>1.07212</v>
      </c>
      <c r="AP11" s="6">
        <v>9.1999999999999993</v>
      </c>
      <c r="AQ11" s="5">
        <f t="shared" si="25"/>
        <v>10.272119999999999</v>
      </c>
    </row>
    <row r="12" spans="1:43">
      <c r="A12" s="5">
        <v>11</v>
      </c>
      <c r="B12" s="6">
        <v>10.3</v>
      </c>
      <c r="C12" s="6">
        <v>46.977449999999997</v>
      </c>
      <c r="D12" s="5">
        <v>10.3</v>
      </c>
      <c r="E12" s="5">
        <f t="shared" si="0"/>
        <v>29.664000000000001</v>
      </c>
      <c r="G12" s="5">
        <f t="shared" si="1"/>
        <v>5.9328000000000003</v>
      </c>
      <c r="H12" s="5">
        <f t="shared" si="2"/>
        <v>5.5414122985074599</v>
      </c>
      <c r="I12" s="5">
        <f t="shared" si="3"/>
        <v>2.3731200000000001</v>
      </c>
      <c r="J12" s="5">
        <f t="shared" si="4"/>
        <v>8.3121184477611898</v>
      </c>
      <c r="K12" s="5">
        <f t="shared" si="5"/>
        <v>3.5596800000000002</v>
      </c>
      <c r="L12" s="5">
        <f t="shared" si="6"/>
        <v>142387200</v>
      </c>
      <c r="N12" s="5">
        <f t="shared" si="7"/>
        <v>8.0092800000000004</v>
      </c>
      <c r="O12" s="5">
        <f t="shared" si="8"/>
        <v>12.410425040304199</v>
      </c>
      <c r="P12" s="5">
        <f t="shared" si="9"/>
        <v>4.8055680000000001</v>
      </c>
      <c r="Q12" s="5">
        <f t="shared" si="10"/>
        <v>8.2736166935361197</v>
      </c>
      <c r="R12" s="5">
        <f t="shared" si="11"/>
        <v>3.2037119999999999</v>
      </c>
      <c r="S12" s="5">
        <f t="shared" si="12"/>
        <v>201032928</v>
      </c>
      <c r="U12" s="5">
        <f t="shared" si="13"/>
        <v>15.721920000000001</v>
      </c>
      <c r="V12" s="5">
        <f t="shared" si="14"/>
        <v>17.543780518309902</v>
      </c>
      <c r="W12" s="5">
        <f t="shared" si="15"/>
        <v>6.7604255999999996</v>
      </c>
      <c r="X12" s="5">
        <f t="shared" si="16"/>
        <v>23.255709059154899</v>
      </c>
      <c r="Y12" s="5">
        <f t="shared" si="17"/>
        <v>8.9614943999999994</v>
      </c>
      <c r="Z12" s="5">
        <f t="shared" si="18"/>
        <v>397961288.66303998</v>
      </c>
      <c r="AB12" s="5">
        <f t="shared" si="19"/>
        <v>26.104320000000001</v>
      </c>
      <c r="AC12" s="5">
        <f t="shared" si="20"/>
        <v>814.45478400000002</v>
      </c>
      <c r="AD12" s="5">
        <f t="shared" si="21"/>
        <v>75.337062057573704</v>
      </c>
      <c r="AF12" s="5">
        <f t="shared" si="22"/>
        <v>741381416.66304004</v>
      </c>
      <c r="AG12" s="5">
        <v>11</v>
      </c>
      <c r="AH12" s="6">
        <v>30.646319999999999</v>
      </c>
      <c r="AI12" s="6">
        <v>29.353899999999999</v>
      </c>
      <c r="AJ12" s="5">
        <f t="shared" si="23"/>
        <v>60.000219999999999</v>
      </c>
      <c r="AK12" s="5">
        <v>60.000219999999999</v>
      </c>
      <c r="AN12" s="5">
        <v>1.2924199999999999</v>
      </c>
      <c r="AO12" s="5">
        <v>0</v>
      </c>
      <c r="AP12" s="6">
        <v>10.3</v>
      </c>
      <c r="AQ12" s="5">
        <f t="shared" si="25"/>
        <v>10.3</v>
      </c>
    </row>
    <row r="13" spans="1:43">
      <c r="A13" s="5">
        <v>12</v>
      </c>
      <c r="B13" s="6">
        <v>7.8</v>
      </c>
      <c r="C13" s="6">
        <v>37.646880000000003</v>
      </c>
      <c r="D13" s="5">
        <v>11.47898</v>
      </c>
      <c r="E13" s="5">
        <f t="shared" si="0"/>
        <v>27.7617312</v>
      </c>
      <c r="G13" s="5">
        <f t="shared" si="1"/>
        <v>5.5523462400000003</v>
      </c>
      <c r="H13" s="5">
        <f t="shared" si="2"/>
        <v>3.0432552109292299</v>
      </c>
      <c r="I13" s="5">
        <f t="shared" si="3"/>
        <v>2.220938496</v>
      </c>
      <c r="J13" s="5">
        <f t="shared" si="4"/>
        <v>4.5648828163938502</v>
      </c>
      <c r="K13" s="5">
        <f t="shared" si="5"/>
        <v>3.3314077439999998</v>
      </c>
      <c r="L13" s="5">
        <f t="shared" si="6"/>
        <v>78196778.190703198</v>
      </c>
      <c r="N13" s="5">
        <f t="shared" si="7"/>
        <v>7.4956674239999996</v>
      </c>
      <c r="O13" s="5">
        <f t="shared" si="8"/>
        <v>5.3454816829440102</v>
      </c>
      <c r="P13" s="5">
        <f t="shared" si="9"/>
        <v>4.4974004544000001</v>
      </c>
      <c r="Q13" s="5">
        <f t="shared" si="10"/>
        <v>3.5636544552960001</v>
      </c>
      <c r="R13" s="5">
        <f t="shared" si="11"/>
        <v>2.9982669695999999</v>
      </c>
      <c r="S13" s="5">
        <f t="shared" si="12"/>
        <v>86589929.901890203</v>
      </c>
      <c r="U13" s="5">
        <f t="shared" si="13"/>
        <v>14.713717536000001</v>
      </c>
      <c r="V13" s="5">
        <f t="shared" si="14"/>
        <v>7.0808812681019804</v>
      </c>
      <c r="W13" s="5">
        <f t="shared" si="15"/>
        <v>6.3268985404800002</v>
      </c>
      <c r="X13" s="5">
        <f t="shared" si="16"/>
        <v>9.3862844716700593</v>
      </c>
      <c r="Y13" s="5">
        <f t="shared" si="17"/>
        <v>8.3868189955200005</v>
      </c>
      <c r="Z13" s="5">
        <f t="shared" si="18"/>
        <v>160621972.63485399</v>
      </c>
      <c r="AB13" s="5">
        <f t="shared" si="19"/>
        <v>24.430323456</v>
      </c>
      <c r="AC13" s="5">
        <f t="shared" si="20"/>
        <v>762.22609182719998</v>
      </c>
      <c r="AD13" s="5">
        <f t="shared" si="21"/>
        <v>32.984439905335101</v>
      </c>
      <c r="AF13" s="5">
        <f t="shared" si="22"/>
        <v>325408680.72744697</v>
      </c>
      <c r="AG13" s="5">
        <v>12</v>
      </c>
      <c r="AH13" s="6">
        <v>23.67022</v>
      </c>
      <c r="AI13" s="6">
        <v>31.028169999999999</v>
      </c>
      <c r="AJ13" s="5">
        <f t="shared" si="23"/>
        <v>54.698390000000003</v>
      </c>
      <c r="AK13" s="5">
        <v>54.698390000000003</v>
      </c>
      <c r="AN13" s="5">
        <v>7.3579499999999998</v>
      </c>
      <c r="AO13" s="5">
        <f t="shared" si="24"/>
        <v>3.6789749999999999</v>
      </c>
      <c r="AP13" s="6">
        <v>7.8</v>
      </c>
      <c r="AQ13" s="5">
        <f t="shared" si="25"/>
        <v>11.478975</v>
      </c>
    </row>
    <row r="14" spans="1:43">
      <c r="A14" s="5">
        <v>13</v>
      </c>
      <c r="B14" s="6">
        <v>9.6780500000000007</v>
      </c>
      <c r="C14" s="6">
        <v>47.54918</v>
      </c>
      <c r="D14" s="5">
        <v>12.894399999999999</v>
      </c>
      <c r="E14" s="5">
        <f t="shared" si="0"/>
        <v>32.504328000000001</v>
      </c>
      <c r="G14" s="5">
        <f t="shared" si="1"/>
        <v>6.5008656</v>
      </c>
      <c r="H14" s="5">
        <f t="shared" si="2"/>
        <v>2.4470807993642398</v>
      </c>
      <c r="I14" s="5">
        <f t="shared" si="3"/>
        <v>2.6003462399999999</v>
      </c>
      <c r="J14" s="5">
        <f t="shared" si="4"/>
        <v>3.67062119904636</v>
      </c>
      <c r="K14" s="5">
        <f t="shared" si="5"/>
        <v>3.9005193600000001</v>
      </c>
      <c r="L14" s="5">
        <f t="shared" si="6"/>
        <v>62878010.952024601</v>
      </c>
      <c r="N14" s="5">
        <f t="shared" si="7"/>
        <v>8.7761685600000003</v>
      </c>
      <c r="O14" s="5">
        <f t="shared" si="8"/>
        <v>5.4496260139715602</v>
      </c>
      <c r="P14" s="5">
        <f t="shared" si="9"/>
        <v>5.2657011359999997</v>
      </c>
      <c r="Q14" s="5">
        <f t="shared" si="10"/>
        <v>3.6330840093143699</v>
      </c>
      <c r="R14" s="5">
        <f t="shared" si="11"/>
        <v>3.5104674239999998</v>
      </c>
      <c r="S14" s="5">
        <f t="shared" si="12"/>
        <v>88276934.152999803</v>
      </c>
      <c r="U14" s="5">
        <f t="shared" si="13"/>
        <v>17.227293840000002</v>
      </c>
      <c r="V14" s="5">
        <f t="shared" si="14"/>
        <v>6.1004887598117703</v>
      </c>
      <c r="W14" s="5">
        <f t="shared" si="15"/>
        <v>7.4077363511999996</v>
      </c>
      <c r="X14" s="5">
        <f t="shared" si="16"/>
        <v>8.0866944025411804</v>
      </c>
      <c r="Y14" s="5">
        <f t="shared" si="17"/>
        <v>9.8195574887999992</v>
      </c>
      <c r="Z14" s="5">
        <f t="shared" si="18"/>
        <v>138382851.16456601</v>
      </c>
      <c r="AB14" s="5">
        <f t="shared" si="19"/>
        <v>28.60380864</v>
      </c>
      <c r="AC14" s="5">
        <f t="shared" si="20"/>
        <v>892.43882956799996</v>
      </c>
      <c r="AD14" s="5">
        <f t="shared" si="21"/>
        <v>29.387595184049498</v>
      </c>
      <c r="AF14" s="5">
        <f t="shared" si="22"/>
        <v>289537796.26959002</v>
      </c>
      <c r="AG14" s="5">
        <v>13</v>
      </c>
      <c r="AH14" s="6">
        <v>24.683589999999999</v>
      </c>
      <c r="AI14" s="6">
        <v>31.116289999999999</v>
      </c>
      <c r="AJ14" s="5">
        <f t="shared" si="23"/>
        <v>55.799880000000002</v>
      </c>
      <c r="AK14" s="5">
        <v>55.799880000000002</v>
      </c>
      <c r="AN14" s="5">
        <v>6.4326999999999996</v>
      </c>
      <c r="AO14" s="5">
        <f t="shared" si="24"/>
        <v>3.2163499999999998</v>
      </c>
      <c r="AP14" s="6">
        <v>9.6780500000000007</v>
      </c>
      <c r="AQ14" s="5">
        <f t="shared" si="25"/>
        <v>12.894399999999999</v>
      </c>
    </row>
    <row r="15" spans="1:43">
      <c r="A15" s="5">
        <v>14</v>
      </c>
      <c r="B15" s="6">
        <v>9.2435399999999994</v>
      </c>
      <c r="C15" s="6">
        <v>46.405720000000002</v>
      </c>
      <c r="D15" s="5">
        <v>12.03398</v>
      </c>
      <c r="E15" s="5">
        <f t="shared" si="0"/>
        <v>30.639628800000001</v>
      </c>
      <c r="G15" s="5">
        <f t="shared" si="1"/>
        <v>6.1279257600000001</v>
      </c>
      <c r="H15" s="5">
        <f t="shared" si="2"/>
        <v>2.1091806747592798</v>
      </c>
      <c r="I15" s="5">
        <f t="shared" si="3"/>
        <v>2.4511703040000001</v>
      </c>
      <c r="J15" s="5">
        <f t="shared" si="4"/>
        <v>3.1637710121389202</v>
      </c>
      <c r="K15" s="5">
        <f t="shared" si="5"/>
        <v>3.676755456</v>
      </c>
      <c r="L15" s="5">
        <f t="shared" si="6"/>
        <v>54195629.993814804</v>
      </c>
      <c r="N15" s="5">
        <f t="shared" si="7"/>
        <v>8.2726997759999996</v>
      </c>
      <c r="O15" s="5">
        <f t="shared" si="8"/>
        <v>4.3306750505234897</v>
      </c>
      <c r="P15" s="5">
        <f t="shared" si="9"/>
        <v>4.9636198656000001</v>
      </c>
      <c r="Q15" s="5">
        <f t="shared" si="10"/>
        <v>2.8871167003489902</v>
      </c>
      <c r="R15" s="5">
        <f t="shared" si="11"/>
        <v>3.3090799103999999</v>
      </c>
      <c r="S15" s="5">
        <f t="shared" si="12"/>
        <v>70151367.3219001</v>
      </c>
      <c r="U15" s="5">
        <f t="shared" si="13"/>
        <v>16.239003264000001</v>
      </c>
      <c r="V15" s="5">
        <f t="shared" si="14"/>
        <v>5.6896655880533302</v>
      </c>
      <c r="W15" s="5">
        <f t="shared" si="15"/>
        <v>6.9827714035200001</v>
      </c>
      <c r="X15" s="5">
        <f t="shared" si="16"/>
        <v>7.5421148492799999</v>
      </c>
      <c r="Y15" s="5">
        <f t="shared" si="17"/>
        <v>9.2562318604799998</v>
      </c>
      <c r="Z15" s="5">
        <f t="shared" si="18"/>
        <v>129063781.157107</v>
      </c>
      <c r="AB15" s="5">
        <f t="shared" si="19"/>
        <v>26.962873343999998</v>
      </c>
      <c r="AC15" s="5">
        <f t="shared" si="20"/>
        <v>841.24164833279997</v>
      </c>
      <c r="AD15" s="5">
        <f t="shared" si="21"/>
        <v>25.722523875103999</v>
      </c>
      <c r="AF15" s="5">
        <f t="shared" si="22"/>
        <v>253410778.47282201</v>
      </c>
      <c r="AG15" s="5">
        <v>14</v>
      </c>
      <c r="AH15" s="6">
        <v>23.949259999999999</v>
      </c>
      <c r="AI15" s="6">
        <v>29.530139999999999</v>
      </c>
      <c r="AJ15" s="5">
        <f t="shared" si="23"/>
        <v>53.479399999999998</v>
      </c>
      <c r="AK15" s="5">
        <v>53.479399999999998</v>
      </c>
      <c r="AN15" s="5">
        <v>5.5808799999999996</v>
      </c>
      <c r="AO15" s="5">
        <f t="shared" si="24"/>
        <v>2.7904399999999998</v>
      </c>
      <c r="AP15" s="6">
        <v>9.2435399999999994</v>
      </c>
      <c r="AQ15" s="5">
        <f t="shared" si="25"/>
        <v>12.03398</v>
      </c>
    </row>
    <row r="16" spans="1:43">
      <c r="A16" s="5">
        <v>15</v>
      </c>
      <c r="B16" s="6">
        <v>7.3911499999999997</v>
      </c>
      <c r="C16" s="6">
        <v>47.25188</v>
      </c>
      <c r="D16" s="5">
        <v>15.86528</v>
      </c>
      <c r="E16" s="5">
        <f t="shared" si="0"/>
        <v>33.489259199999999</v>
      </c>
      <c r="G16" s="5">
        <f t="shared" si="1"/>
        <v>6.6978518400000002</v>
      </c>
      <c r="H16" s="5">
        <f t="shared" si="2"/>
        <v>2.6518025652244899</v>
      </c>
      <c r="I16" s="5">
        <f t="shared" si="3"/>
        <v>2.6791407359999999</v>
      </c>
      <c r="J16" s="5">
        <f t="shared" si="4"/>
        <v>3.9777038478367399</v>
      </c>
      <c r="K16" s="5">
        <f t="shared" si="5"/>
        <v>4.0187111040000003</v>
      </c>
      <c r="L16" s="5">
        <f t="shared" si="6"/>
        <v>68138359.298194095</v>
      </c>
      <c r="N16" s="5">
        <f t="shared" si="7"/>
        <v>9.042099984</v>
      </c>
      <c r="O16" s="5">
        <f t="shared" si="8"/>
        <v>5.1910761059223001</v>
      </c>
      <c r="P16" s="5">
        <f t="shared" si="9"/>
        <v>5.4252599903999998</v>
      </c>
      <c r="Q16" s="5">
        <f t="shared" si="10"/>
        <v>3.4607174039482</v>
      </c>
      <c r="R16" s="5">
        <f t="shared" si="11"/>
        <v>3.6168399936000002</v>
      </c>
      <c r="S16" s="5">
        <f t="shared" si="12"/>
        <v>84088758.092915505</v>
      </c>
      <c r="U16" s="5">
        <f t="shared" si="13"/>
        <v>17.749307376000001</v>
      </c>
      <c r="V16" s="5">
        <f t="shared" si="14"/>
        <v>6.1717190400622197</v>
      </c>
      <c r="W16" s="5">
        <f t="shared" si="15"/>
        <v>7.6322021716800004</v>
      </c>
      <c r="X16" s="5">
        <f t="shared" si="16"/>
        <v>8.1811159368266697</v>
      </c>
      <c r="Y16" s="5">
        <f t="shared" si="17"/>
        <v>10.11710520432</v>
      </c>
      <c r="Z16" s="5">
        <f t="shared" si="18"/>
        <v>139998631.41732901</v>
      </c>
      <c r="AB16" s="5">
        <f t="shared" si="19"/>
        <v>29.470548096000002</v>
      </c>
      <c r="AC16" s="5">
        <f t="shared" si="20"/>
        <v>919.48110059520002</v>
      </c>
      <c r="AD16" s="5">
        <f t="shared" si="21"/>
        <v>29.634134899820602</v>
      </c>
      <c r="AF16" s="5">
        <f t="shared" si="22"/>
        <v>292225748.80843902</v>
      </c>
      <c r="AG16" s="5">
        <v>15</v>
      </c>
      <c r="AH16" s="6">
        <v>13.97711</v>
      </c>
      <c r="AI16" s="6">
        <v>30.925360000000001</v>
      </c>
      <c r="AJ16" s="5">
        <f t="shared" si="23"/>
        <v>44.902470000000001</v>
      </c>
      <c r="AK16" s="5">
        <v>44.902470000000001</v>
      </c>
      <c r="AN16" s="5">
        <v>16.948250000000002</v>
      </c>
      <c r="AO16" s="5">
        <f t="shared" si="24"/>
        <v>8.4741250000000008</v>
      </c>
      <c r="AP16" s="6">
        <v>7.3911499999999997</v>
      </c>
      <c r="AQ16" s="5">
        <f t="shared" si="25"/>
        <v>15.865275</v>
      </c>
    </row>
    <row r="17" spans="1:43">
      <c r="A17" s="5">
        <v>16</v>
      </c>
      <c r="B17" s="6">
        <v>6.6822100000000004</v>
      </c>
      <c r="C17" s="6">
        <v>20.289290000000001</v>
      </c>
      <c r="D17" s="5">
        <v>9.8471600000000006</v>
      </c>
      <c r="E17" s="5">
        <f t="shared" si="0"/>
        <v>23.8022928</v>
      </c>
      <c r="G17" s="5">
        <f t="shared" si="1"/>
        <v>4.76045856</v>
      </c>
      <c r="H17" s="5">
        <f t="shared" si="2"/>
        <v>4.4464103982805998</v>
      </c>
      <c r="I17" s="5">
        <f t="shared" si="3"/>
        <v>1.904183424</v>
      </c>
      <c r="J17" s="5">
        <f t="shared" si="4"/>
        <v>6.6696155974208899</v>
      </c>
      <c r="K17" s="5">
        <f t="shared" si="5"/>
        <v>2.8562751359999998</v>
      </c>
      <c r="L17" s="5">
        <f t="shared" si="6"/>
        <v>114251005.44</v>
      </c>
      <c r="N17" s="5">
        <f t="shared" si="7"/>
        <v>6.4266190559999998</v>
      </c>
      <c r="O17" s="5">
        <f t="shared" si="8"/>
        <v>9.9580828809928494</v>
      </c>
      <c r="P17" s="5">
        <f t="shared" si="9"/>
        <v>3.8559714336000002</v>
      </c>
      <c r="Q17" s="5">
        <f t="shared" si="10"/>
        <v>6.6387219206618999</v>
      </c>
      <c r="R17" s="5">
        <f t="shared" si="11"/>
        <v>2.5706476224000001</v>
      </c>
      <c r="S17" s="5">
        <f t="shared" si="12"/>
        <v>161308138.30559999</v>
      </c>
      <c r="U17" s="5">
        <f t="shared" si="13"/>
        <v>12.615215184</v>
      </c>
      <c r="V17" s="5">
        <f t="shared" si="14"/>
        <v>14.077069873103699</v>
      </c>
      <c r="W17" s="5">
        <f t="shared" si="15"/>
        <v>5.42454252912</v>
      </c>
      <c r="X17" s="5">
        <f t="shared" si="16"/>
        <v>18.660301924811801</v>
      </c>
      <c r="Y17" s="5">
        <f t="shared" si="17"/>
        <v>7.1906726548800002</v>
      </c>
      <c r="Z17" s="5">
        <f t="shared" si="18"/>
        <v>319322785.72758198</v>
      </c>
      <c r="AB17" s="5">
        <f t="shared" si="19"/>
        <v>20.946017663999999</v>
      </c>
      <c r="AC17" s="5">
        <f t="shared" si="20"/>
        <v>653.51575111679995</v>
      </c>
      <c r="AD17" s="5">
        <f t="shared" si="21"/>
        <v>60.450202595271698</v>
      </c>
      <c r="AF17" s="5">
        <f t="shared" si="22"/>
        <v>594881929.47318196</v>
      </c>
      <c r="AG17" s="5">
        <v>16</v>
      </c>
      <c r="AH17" s="6">
        <v>25.902570000000001</v>
      </c>
      <c r="AI17" s="6">
        <v>32.232460000000003</v>
      </c>
      <c r="AJ17" s="5">
        <f t="shared" si="23"/>
        <v>58.13503</v>
      </c>
      <c r="AK17" s="5">
        <v>58.13503</v>
      </c>
      <c r="AN17" s="5">
        <v>6.3298899999999998</v>
      </c>
      <c r="AO17" s="5">
        <f t="shared" si="24"/>
        <v>3.1649449999999999</v>
      </c>
      <c r="AP17" s="6">
        <v>6.6822100000000004</v>
      </c>
      <c r="AQ17" s="5">
        <f t="shared" si="25"/>
        <v>9.8471550000000008</v>
      </c>
    </row>
    <row r="18" spans="1:43">
      <c r="A18" s="5">
        <v>17</v>
      </c>
      <c r="B18" s="6">
        <v>6.5221299999999998</v>
      </c>
      <c r="C18" s="6">
        <v>42.243560000000002</v>
      </c>
      <c r="D18" s="5">
        <v>9.8706600000000009</v>
      </c>
      <c r="E18" s="5">
        <f t="shared" si="0"/>
        <v>23.605617599999999</v>
      </c>
      <c r="G18" s="5">
        <f t="shared" si="1"/>
        <v>4.7211235199999999</v>
      </c>
      <c r="H18" s="5">
        <f t="shared" si="2"/>
        <v>2.5876599067569201</v>
      </c>
      <c r="I18" s="5">
        <f t="shared" si="3"/>
        <v>1.8884494080000001</v>
      </c>
      <c r="J18" s="5">
        <f t="shared" si="4"/>
        <v>3.88148986013538</v>
      </c>
      <c r="K18" s="5">
        <f t="shared" si="5"/>
        <v>2.8326741119999999</v>
      </c>
      <c r="L18" s="5">
        <f t="shared" si="6"/>
        <v>66490206.616572998</v>
      </c>
      <c r="N18" s="5">
        <f t="shared" si="7"/>
        <v>6.3735167519999996</v>
      </c>
      <c r="O18" s="5">
        <f t="shared" si="8"/>
        <v>4.5452279465691499</v>
      </c>
      <c r="P18" s="5">
        <f t="shared" si="9"/>
        <v>3.8241100511999999</v>
      </c>
      <c r="Q18" s="5">
        <f t="shared" si="10"/>
        <v>3.0301519643794301</v>
      </c>
      <c r="R18" s="5">
        <f t="shared" si="11"/>
        <v>2.5494067008000001</v>
      </c>
      <c r="S18" s="5">
        <f t="shared" si="12"/>
        <v>73626848.360048503</v>
      </c>
      <c r="U18" s="5">
        <f t="shared" si="13"/>
        <v>12.510977327999999</v>
      </c>
      <c r="V18" s="5">
        <f t="shared" si="14"/>
        <v>6.0208268094540998</v>
      </c>
      <c r="W18" s="5">
        <f t="shared" si="15"/>
        <v>5.3797202510400002</v>
      </c>
      <c r="X18" s="5">
        <f t="shared" si="16"/>
        <v>7.9810960032298599</v>
      </c>
      <c r="Y18" s="5">
        <f t="shared" si="17"/>
        <v>7.1312570769599999</v>
      </c>
      <c r="Z18" s="5">
        <f t="shared" si="18"/>
        <v>136575807.785936</v>
      </c>
      <c r="AB18" s="5">
        <f t="shared" si="19"/>
        <v>20.772943487999999</v>
      </c>
      <c r="AC18" s="5">
        <f t="shared" si="20"/>
        <v>648.11583682560001</v>
      </c>
      <c r="AD18" s="5">
        <f t="shared" si="21"/>
        <v>28.0464524905248</v>
      </c>
      <c r="AF18" s="5">
        <f t="shared" si="22"/>
        <v>276692862.76255703</v>
      </c>
      <c r="AG18" s="5">
        <v>17</v>
      </c>
      <c r="AH18" s="6">
        <v>23.112130000000001</v>
      </c>
      <c r="AI18" s="6">
        <v>29.809190000000001</v>
      </c>
      <c r="AJ18" s="5">
        <f t="shared" si="23"/>
        <v>52.921320000000001</v>
      </c>
      <c r="AK18" s="5">
        <v>52.921320000000001</v>
      </c>
      <c r="AN18" s="5">
        <v>6.6970599999999996</v>
      </c>
      <c r="AO18" s="5">
        <f t="shared" si="24"/>
        <v>3.3485299999999998</v>
      </c>
      <c r="AP18" s="6">
        <v>6.5221299999999998</v>
      </c>
      <c r="AQ18" s="5">
        <f t="shared" si="25"/>
        <v>9.8706600000000009</v>
      </c>
    </row>
    <row r="19" spans="1:43">
      <c r="A19" s="5">
        <v>18</v>
      </c>
      <c r="B19" s="6">
        <v>6.6822100000000004</v>
      </c>
      <c r="C19" s="6">
        <v>45.673920000000003</v>
      </c>
      <c r="D19" s="5">
        <v>8.6355199999999996</v>
      </c>
      <c r="E19" s="5">
        <f t="shared" si="0"/>
        <v>22.0575312</v>
      </c>
      <c r="G19" s="5">
        <f t="shared" si="1"/>
        <v>4.4115062399999996</v>
      </c>
      <c r="H19" s="5">
        <f t="shared" si="2"/>
        <v>1.6605961237192099</v>
      </c>
      <c r="I19" s="5">
        <f t="shared" si="3"/>
        <v>1.764602496</v>
      </c>
      <c r="J19" s="5">
        <f t="shared" si="4"/>
        <v>2.49089418557881</v>
      </c>
      <c r="K19" s="5">
        <f t="shared" si="5"/>
        <v>2.6469037439999998</v>
      </c>
      <c r="L19" s="5">
        <f t="shared" si="6"/>
        <v>42669200.494414903</v>
      </c>
      <c r="N19" s="5">
        <f t="shared" si="7"/>
        <v>5.9555334240000004</v>
      </c>
      <c r="O19" s="5">
        <f t="shared" si="8"/>
        <v>3.6981320097283499</v>
      </c>
      <c r="P19" s="5">
        <f t="shared" si="9"/>
        <v>3.5733200543999999</v>
      </c>
      <c r="Q19" s="5">
        <f t="shared" si="10"/>
        <v>2.4654213398189002</v>
      </c>
      <c r="R19" s="5">
        <f t="shared" si="11"/>
        <v>2.3822133696000001</v>
      </c>
      <c r="S19" s="5">
        <f t="shared" si="12"/>
        <v>59904983.401599303</v>
      </c>
      <c r="U19" s="5">
        <f t="shared" si="13"/>
        <v>11.690491536</v>
      </c>
      <c r="V19" s="5">
        <f t="shared" si="14"/>
        <v>4.13980935568941</v>
      </c>
      <c r="W19" s="5">
        <f t="shared" si="15"/>
        <v>5.0269113604799998</v>
      </c>
      <c r="X19" s="5">
        <f t="shared" si="16"/>
        <v>5.4876542621929403</v>
      </c>
      <c r="Y19" s="5">
        <f t="shared" si="17"/>
        <v>6.6635801755199999</v>
      </c>
      <c r="Z19" s="5">
        <f t="shared" si="18"/>
        <v>93907003.925980702</v>
      </c>
      <c r="AB19" s="5">
        <f t="shared" si="19"/>
        <v>19.410627456</v>
      </c>
      <c r="AC19" s="5">
        <f t="shared" si="20"/>
        <v>605.61157662719995</v>
      </c>
      <c r="AD19" s="5">
        <f t="shared" si="21"/>
        <v>19.9425072767276</v>
      </c>
      <c r="AF19" s="5">
        <f t="shared" si="22"/>
        <v>196481187.82199499</v>
      </c>
      <c r="AG19" s="5">
        <v>18</v>
      </c>
      <c r="AH19" s="6">
        <v>23.67022</v>
      </c>
      <c r="AI19" s="6">
        <v>27.576830000000001</v>
      </c>
      <c r="AJ19" s="5">
        <f t="shared" si="23"/>
        <v>51.247050000000002</v>
      </c>
      <c r="AK19" s="5">
        <v>51.247050000000002</v>
      </c>
      <c r="AN19" s="5">
        <v>3.9066100000000001</v>
      </c>
      <c r="AO19" s="5">
        <f t="shared" si="24"/>
        <v>1.9533050000000001</v>
      </c>
      <c r="AP19" s="6">
        <v>6.6822100000000004</v>
      </c>
      <c r="AQ19" s="5">
        <f t="shared" si="25"/>
        <v>8.6355149999999998</v>
      </c>
    </row>
    <row r="20" spans="1:43">
      <c r="A20" s="5">
        <v>19</v>
      </c>
      <c r="B20" s="6">
        <v>7.0938499999999998</v>
      </c>
      <c r="C20" s="6">
        <v>47.54918</v>
      </c>
      <c r="D20" s="5">
        <v>7.0938499999999998</v>
      </c>
      <c r="E20" s="5">
        <f t="shared" si="0"/>
        <v>20.430288000000001</v>
      </c>
      <c r="G20" s="5">
        <f t="shared" si="1"/>
        <v>4.0860576000000002</v>
      </c>
      <c r="H20" s="5">
        <f t="shared" si="2"/>
        <v>1.4063867715449101</v>
      </c>
      <c r="I20" s="5">
        <f t="shared" si="3"/>
        <v>1.6344230399999999</v>
      </c>
      <c r="J20" s="5">
        <f t="shared" si="4"/>
        <v>2.10958015731737</v>
      </c>
      <c r="K20" s="5">
        <f t="shared" si="5"/>
        <v>2.45163456</v>
      </c>
      <c r="L20" s="5">
        <f t="shared" si="6"/>
        <v>36137263.161460802</v>
      </c>
      <c r="N20" s="5">
        <f t="shared" si="7"/>
        <v>5.5161777599999997</v>
      </c>
      <c r="O20" s="5">
        <f t="shared" si="8"/>
        <v>2.8876635253691298</v>
      </c>
      <c r="P20" s="5">
        <f t="shared" si="9"/>
        <v>3.3097066559999999</v>
      </c>
      <c r="Q20" s="5">
        <f t="shared" si="10"/>
        <v>1.92510901691275</v>
      </c>
      <c r="R20" s="5">
        <f t="shared" si="11"/>
        <v>2.2064711039999998</v>
      </c>
      <c r="S20" s="5">
        <f t="shared" si="12"/>
        <v>46776436.076804198</v>
      </c>
      <c r="U20" s="5">
        <f t="shared" si="13"/>
        <v>10.828052639999999</v>
      </c>
      <c r="V20" s="5">
        <f t="shared" si="14"/>
        <v>3.79382881386667</v>
      </c>
      <c r="W20" s="5">
        <f t="shared" si="15"/>
        <v>4.6560626351999996</v>
      </c>
      <c r="X20" s="5">
        <f t="shared" si="16"/>
        <v>5.0290288928000004</v>
      </c>
      <c r="Y20" s="5">
        <f t="shared" si="17"/>
        <v>6.1719900047999996</v>
      </c>
      <c r="Z20" s="5">
        <f t="shared" si="18"/>
        <v>86058817.377339393</v>
      </c>
      <c r="AB20" s="5">
        <f t="shared" si="19"/>
        <v>17.978653439999999</v>
      </c>
      <c r="AC20" s="5">
        <f t="shared" si="20"/>
        <v>560.93398732799994</v>
      </c>
      <c r="AD20" s="5">
        <f t="shared" si="21"/>
        <v>17.1515971778108</v>
      </c>
      <c r="AF20" s="5">
        <f t="shared" si="22"/>
        <v>168972516.61560401</v>
      </c>
      <c r="AG20" s="5">
        <v>19</v>
      </c>
      <c r="AH20" s="6">
        <v>27.106870000000001</v>
      </c>
      <c r="AI20" s="6">
        <v>26.269729999999999</v>
      </c>
      <c r="AJ20" s="5">
        <f t="shared" si="23"/>
        <v>53.376600000000003</v>
      </c>
      <c r="AK20" s="5">
        <v>53.376600000000003</v>
      </c>
      <c r="AN20" s="5">
        <v>0.83714000000000199</v>
      </c>
      <c r="AO20" s="5">
        <v>0</v>
      </c>
      <c r="AP20" s="6">
        <v>7.0938499999999998</v>
      </c>
      <c r="AQ20" s="5">
        <f t="shared" si="25"/>
        <v>7.0938499999999998</v>
      </c>
    </row>
    <row r="21" spans="1:43">
      <c r="A21" s="5">
        <v>20</v>
      </c>
      <c r="B21" s="6">
        <v>7.2539400000000001</v>
      </c>
      <c r="C21" s="6">
        <v>46.405720000000002</v>
      </c>
      <c r="D21" s="5">
        <v>7.2539400000000001</v>
      </c>
      <c r="E21" s="5">
        <f t="shared" si="0"/>
        <v>20.891347199999998</v>
      </c>
      <c r="G21" s="5">
        <f t="shared" si="1"/>
        <v>4.1782694400000002</v>
      </c>
      <c r="H21" s="5">
        <f t="shared" si="2"/>
        <v>1.6542536150204099</v>
      </c>
      <c r="I21" s="5">
        <f t="shared" si="3"/>
        <v>1.6713077759999999</v>
      </c>
      <c r="J21" s="5">
        <f t="shared" si="4"/>
        <v>2.4813804225306102</v>
      </c>
      <c r="K21" s="5">
        <f t="shared" si="5"/>
        <v>2.5069616639999999</v>
      </c>
      <c r="L21" s="5">
        <f t="shared" si="6"/>
        <v>42506229.034081496</v>
      </c>
      <c r="N21" s="5">
        <f t="shared" si="7"/>
        <v>5.6406637440000003</v>
      </c>
      <c r="O21" s="5">
        <f t="shared" si="8"/>
        <v>3.2383091134618698</v>
      </c>
      <c r="P21" s="5">
        <f t="shared" si="9"/>
        <v>3.3843982464</v>
      </c>
      <c r="Q21" s="5">
        <f t="shared" si="10"/>
        <v>2.1588727423079099</v>
      </c>
      <c r="R21" s="5">
        <f t="shared" si="11"/>
        <v>2.2562654975999998</v>
      </c>
      <c r="S21" s="5">
        <f t="shared" si="12"/>
        <v>52456443.734530501</v>
      </c>
      <c r="U21" s="5">
        <f t="shared" si="13"/>
        <v>11.072414016</v>
      </c>
      <c r="V21" s="5">
        <f t="shared" si="14"/>
        <v>3.8500560587733301</v>
      </c>
      <c r="W21" s="5">
        <f t="shared" si="15"/>
        <v>4.7611380268800003</v>
      </c>
      <c r="X21" s="5">
        <f t="shared" si="16"/>
        <v>5.1035626825599998</v>
      </c>
      <c r="Y21" s="5">
        <f t="shared" si="17"/>
        <v>6.3112759891200003</v>
      </c>
      <c r="Z21" s="5">
        <f t="shared" si="18"/>
        <v>87334270.340152904</v>
      </c>
      <c r="AB21" s="5">
        <f t="shared" si="19"/>
        <v>18.384385536</v>
      </c>
      <c r="AC21" s="5">
        <f t="shared" si="20"/>
        <v>573.5928287232</v>
      </c>
      <c r="AD21" s="5">
        <f t="shared" si="21"/>
        <v>18.486434634654099</v>
      </c>
      <c r="AF21" s="5">
        <f t="shared" si="22"/>
        <v>182296943.10876501</v>
      </c>
      <c r="AG21" s="5">
        <v>20</v>
      </c>
      <c r="AH21" s="6">
        <v>27.297789999999999</v>
      </c>
      <c r="AI21" s="6">
        <v>27.664950000000001</v>
      </c>
      <c r="AJ21" s="5">
        <f t="shared" si="23"/>
        <v>54.962739999999997</v>
      </c>
      <c r="AK21" s="5">
        <v>54.962739999999997</v>
      </c>
      <c r="AN21" s="5">
        <v>0.36716000000000198</v>
      </c>
      <c r="AO21" s="5">
        <v>0</v>
      </c>
      <c r="AP21" s="6">
        <v>7.2539400000000001</v>
      </c>
      <c r="AQ21" s="5">
        <f t="shared" si="25"/>
        <v>7.2539400000000001</v>
      </c>
    </row>
    <row r="22" spans="1:43">
      <c r="A22" s="5">
        <v>21</v>
      </c>
      <c r="B22" s="6">
        <v>14.98367</v>
      </c>
      <c r="C22" s="6">
        <v>47.25188</v>
      </c>
      <c r="D22" s="5">
        <v>16.8048</v>
      </c>
      <c r="E22" s="5">
        <f t="shared" si="0"/>
        <v>45.775396800000003</v>
      </c>
      <c r="G22" s="5">
        <f t="shared" si="1"/>
        <v>9.1550793600000002</v>
      </c>
      <c r="H22" s="5">
        <f t="shared" si="2"/>
        <v>8.5511174081910397</v>
      </c>
      <c r="I22" s="5">
        <f t="shared" si="3"/>
        <v>3.6620317440000001</v>
      </c>
      <c r="J22" s="5">
        <f t="shared" si="4"/>
        <v>12.8266761122866</v>
      </c>
      <c r="K22" s="5">
        <f t="shared" si="5"/>
        <v>5.4930476160000001</v>
      </c>
      <c r="L22" s="5">
        <f t="shared" si="6"/>
        <v>219721904.63999999</v>
      </c>
      <c r="N22" s="5">
        <f t="shared" si="7"/>
        <v>12.359357136</v>
      </c>
      <c r="O22" s="5">
        <f t="shared" si="8"/>
        <v>19.150894372861998</v>
      </c>
      <c r="P22" s="5">
        <f t="shared" si="9"/>
        <v>7.4156142815999999</v>
      </c>
      <c r="Q22" s="5">
        <f t="shared" si="10"/>
        <v>12.7672629152414</v>
      </c>
      <c r="R22" s="5">
        <f t="shared" si="11"/>
        <v>4.9437428543999999</v>
      </c>
      <c r="S22" s="5">
        <f t="shared" si="12"/>
        <v>310219864.11360002</v>
      </c>
      <c r="U22" s="5">
        <f t="shared" si="13"/>
        <v>24.260960304000001</v>
      </c>
      <c r="V22" s="5">
        <f t="shared" si="14"/>
        <v>27.072327218100799</v>
      </c>
      <c r="W22" s="5">
        <f t="shared" si="15"/>
        <v>10.43221293072</v>
      </c>
      <c r="X22" s="5">
        <f t="shared" si="16"/>
        <v>35.886573289110402</v>
      </c>
      <c r="Y22" s="5">
        <f t="shared" si="17"/>
        <v>13.828747373280001</v>
      </c>
      <c r="Z22" s="5">
        <f t="shared" si="18"/>
        <v>614105848.82652402</v>
      </c>
      <c r="AB22" s="5">
        <f t="shared" si="19"/>
        <v>40.282349183999997</v>
      </c>
      <c r="AC22" s="5">
        <f t="shared" si="20"/>
        <v>1256.8092945408</v>
      </c>
      <c r="AD22" s="5">
        <f t="shared" si="21"/>
        <v>116.254851315792</v>
      </c>
      <c r="AF22" s="5">
        <f t="shared" si="22"/>
        <v>1144047617.5801201</v>
      </c>
      <c r="AG22" s="5">
        <v>21</v>
      </c>
      <c r="AH22" s="6">
        <v>23.567409999999999</v>
      </c>
      <c r="AI22" s="6">
        <v>27.209669999999999</v>
      </c>
      <c r="AJ22" s="5">
        <f t="shared" si="23"/>
        <v>50.777079999999998</v>
      </c>
      <c r="AK22" s="5">
        <v>50.777079999999998</v>
      </c>
      <c r="AN22" s="5">
        <v>3.6422599999999998</v>
      </c>
      <c r="AO22" s="5">
        <f t="shared" si="24"/>
        <v>1.8211299999999999</v>
      </c>
      <c r="AP22" s="6">
        <v>14.98367</v>
      </c>
      <c r="AQ22" s="5">
        <f t="shared" si="25"/>
        <v>16.8048</v>
      </c>
    </row>
    <row r="23" spans="1:43">
      <c r="A23" s="5">
        <v>22</v>
      </c>
      <c r="B23" s="6">
        <v>10.981590000000001</v>
      </c>
      <c r="C23" s="6">
        <v>47.823599999999999</v>
      </c>
      <c r="D23" s="5">
        <v>14.521039999999999</v>
      </c>
      <c r="E23" s="5">
        <f t="shared" si="0"/>
        <v>36.723787199999997</v>
      </c>
      <c r="G23" s="5">
        <f t="shared" si="1"/>
        <v>7.3447574400000004</v>
      </c>
      <c r="H23" s="5">
        <f t="shared" si="2"/>
        <v>4.0256803855753898</v>
      </c>
      <c r="I23" s="5">
        <f t="shared" si="3"/>
        <v>2.9379029760000002</v>
      </c>
      <c r="J23" s="5">
        <f t="shared" si="4"/>
        <v>6.0385205783630802</v>
      </c>
      <c r="K23" s="5">
        <f t="shared" si="5"/>
        <v>4.4068544640000002</v>
      </c>
      <c r="L23" s="5">
        <f t="shared" si="6"/>
        <v>103440301.37432399</v>
      </c>
      <c r="N23" s="5">
        <f t="shared" si="7"/>
        <v>9.9154225440000001</v>
      </c>
      <c r="O23" s="5">
        <f t="shared" si="8"/>
        <v>7.0711127628068704</v>
      </c>
      <c r="P23" s="5">
        <f t="shared" si="9"/>
        <v>5.9492535263999997</v>
      </c>
      <c r="Q23" s="5">
        <f t="shared" si="10"/>
        <v>4.71407517520458</v>
      </c>
      <c r="R23" s="5">
        <f t="shared" si="11"/>
        <v>3.9661690176</v>
      </c>
      <c r="S23" s="5">
        <f t="shared" si="12"/>
        <v>114542934.533562</v>
      </c>
      <c r="U23" s="5">
        <f t="shared" si="13"/>
        <v>19.463607216</v>
      </c>
      <c r="V23" s="5">
        <f t="shared" si="14"/>
        <v>9.3667349130677895</v>
      </c>
      <c r="W23" s="5">
        <f t="shared" si="15"/>
        <v>8.3693511028799996</v>
      </c>
      <c r="X23" s="5">
        <f t="shared" si="16"/>
        <v>12.4163695359271</v>
      </c>
      <c r="Y23" s="5">
        <f t="shared" si="17"/>
        <v>11.09425611312</v>
      </c>
      <c r="Z23" s="5">
        <f t="shared" si="18"/>
        <v>212474038.45933801</v>
      </c>
      <c r="AB23" s="5">
        <f t="shared" si="19"/>
        <v>32.316932735999998</v>
      </c>
      <c r="AC23" s="5">
        <f t="shared" si="20"/>
        <v>1008.2883013632</v>
      </c>
      <c r="AD23" s="5">
        <f t="shared" si="21"/>
        <v>43.632493350944799</v>
      </c>
      <c r="AF23" s="5">
        <f t="shared" si="22"/>
        <v>430457274.36722398</v>
      </c>
      <c r="AG23" s="5">
        <v>22</v>
      </c>
      <c r="AH23" s="6">
        <v>25.153559999999999</v>
      </c>
      <c r="AI23" s="6">
        <v>32.232460000000003</v>
      </c>
      <c r="AJ23" s="5">
        <f t="shared" si="23"/>
        <v>57.386020000000002</v>
      </c>
      <c r="AK23" s="5">
        <v>57.386020000000002</v>
      </c>
      <c r="AN23" s="5">
        <v>7.0789</v>
      </c>
      <c r="AO23" s="5">
        <f t="shared" si="24"/>
        <v>3.53945</v>
      </c>
      <c r="AP23" s="6">
        <v>10.981590000000001</v>
      </c>
      <c r="AQ23" s="5">
        <f t="shared" si="25"/>
        <v>14.521039999999999</v>
      </c>
    </row>
    <row r="24" spans="1:43">
      <c r="A24" s="5">
        <v>23</v>
      </c>
      <c r="B24" s="6">
        <v>9.5408399999999993</v>
      </c>
      <c r="C24" s="6">
        <v>46.840240000000001</v>
      </c>
      <c r="D24" s="5">
        <v>10.70842</v>
      </c>
      <c r="E24" s="5">
        <f t="shared" si="0"/>
        <v>29.1589344</v>
      </c>
      <c r="G24" s="5">
        <f t="shared" si="1"/>
        <v>5.8317868800000001</v>
      </c>
      <c r="H24" s="5">
        <f t="shared" si="2"/>
        <v>2.1952236176105999</v>
      </c>
      <c r="I24" s="5">
        <f t="shared" si="3"/>
        <v>2.3327147519999998</v>
      </c>
      <c r="J24" s="5">
        <f t="shared" si="4"/>
        <v>3.2928354264159001</v>
      </c>
      <c r="K24" s="5">
        <f t="shared" si="5"/>
        <v>3.4990721279999999</v>
      </c>
      <c r="L24" s="5">
        <f t="shared" si="6"/>
        <v>56406512.897376798</v>
      </c>
      <c r="N24" s="5">
        <f t="shared" si="7"/>
        <v>7.8729122880000002</v>
      </c>
      <c r="O24" s="5">
        <f t="shared" si="8"/>
        <v>4.8887424298059701</v>
      </c>
      <c r="P24" s="5">
        <f t="shared" si="9"/>
        <v>4.7237473728000001</v>
      </c>
      <c r="Q24" s="5">
        <f t="shared" si="10"/>
        <v>3.2591616198706501</v>
      </c>
      <c r="R24" s="5">
        <f t="shared" si="11"/>
        <v>3.1491649152000001</v>
      </c>
      <c r="S24" s="5">
        <f t="shared" si="12"/>
        <v>79191341.288472205</v>
      </c>
      <c r="U24" s="5">
        <f t="shared" si="13"/>
        <v>15.454235232</v>
      </c>
      <c r="V24" s="5">
        <f t="shared" si="14"/>
        <v>5.4726174174494098</v>
      </c>
      <c r="W24" s="5">
        <f t="shared" si="15"/>
        <v>6.64532114976</v>
      </c>
      <c r="X24" s="5">
        <f t="shared" si="16"/>
        <v>7.2543998324329397</v>
      </c>
      <c r="Y24" s="5">
        <f t="shared" si="17"/>
        <v>8.8089140822399994</v>
      </c>
      <c r="Z24" s="5">
        <f t="shared" si="18"/>
        <v>124140283.078381</v>
      </c>
      <c r="AB24" s="5">
        <f t="shared" si="19"/>
        <v>25.659862272000002</v>
      </c>
      <c r="AC24" s="5">
        <f t="shared" si="20"/>
        <v>800.58770288640005</v>
      </c>
      <c r="AD24" s="5">
        <f t="shared" si="21"/>
        <v>26.362980343585502</v>
      </c>
      <c r="AF24" s="5">
        <f t="shared" si="22"/>
        <v>259738137.26423001</v>
      </c>
      <c r="AG24" s="5">
        <v>23</v>
      </c>
      <c r="AH24" s="6">
        <v>30.646319999999999</v>
      </c>
      <c r="AI24" s="6">
        <v>32.981479999999998</v>
      </c>
      <c r="AJ24" s="5">
        <f t="shared" si="23"/>
        <v>63.627800000000001</v>
      </c>
      <c r="AK24" s="5">
        <v>63.627800000000001</v>
      </c>
      <c r="AN24" s="5">
        <v>2.3351600000000001</v>
      </c>
      <c r="AO24" s="5">
        <f t="shared" si="24"/>
        <v>1.1675800000000001</v>
      </c>
      <c r="AP24" s="6">
        <v>9.5408399999999993</v>
      </c>
      <c r="AQ24" s="5">
        <f t="shared" si="25"/>
        <v>10.70842</v>
      </c>
    </row>
    <row r="25" spans="1:43">
      <c r="A25" s="5">
        <v>24</v>
      </c>
      <c r="B25" s="6">
        <v>10.547079999999999</v>
      </c>
      <c r="C25" s="6">
        <v>47.686390000000003</v>
      </c>
      <c r="D25" s="5">
        <v>16.13531</v>
      </c>
      <c r="E25" s="5">
        <f t="shared" si="0"/>
        <v>38.422641599999999</v>
      </c>
      <c r="G25" s="5">
        <f t="shared" si="1"/>
        <v>7.6845283200000001</v>
      </c>
      <c r="H25" s="5">
        <f t="shared" si="2"/>
        <v>2.6449502265485001</v>
      </c>
      <c r="I25" s="5">
        <f t="shared" si="3"/>
        <v>3.0738113280000001</v>
      </c>
      <c r="J25" s="5">
        <f t="shared" si="4"/>
        <v>3.9674253398227601</v>
      </c>
      <c r="K25" s="5">
        <f t="shared" si="5"/>
        <v>4.6107169920000004</v>
      </c>
      <c r="L25" s="5">
        <f t="shared" si="6"/>
        <v>67962287.700383499</v>
      </c>
      <c r="N25" s="5">
        <f t="shared" si="7"/>
        <v>10.374113231999999</v>
      </c>
      <c r="O25" s="5">
        <f t="shared" si="8"/>
        <v>5.4307438395704697</v>
      </c>
      <c r="P25" s="5">
        <f t="shared" si="9"/>
        <v>6.2244679392000002</v>
      </c>
      <c r="Q25" s="5">
        <f t="shared" si="10"/>
        <v>3.6204958930469799</v>
      </c>
      <c r="R25" s="5">
        <f t="shared" si="11"/>
        <v>4.1496452927999998</v>
      </c>
      <c r="S25" s="5">
        <f t="shared" si="12"/>
        <v>87971067.206901699</v>
      </c>
      <c r="U25" s="5">
        <f t="shared" si="13"/>
        <v>20.364000048000001</v>
      </c>
      <c r="V25" s="5">
        <f t="shared" si="14"/>
        <v>7.1349422390399999</v>
      </c>
      <c r="W25" s="5">
        <f t="shared" si="15"/>
        <v>8.75652002064</v>
      </c>
      <c r="X25" s="5">
        <f t="shared" si="16"/>
        <v>9.4579466889599999</v>
      </c>
      <c r="Y25" s="5">
        <f t="shared" si="17"/>
        <v>11.607480027359999</v>
      </c>
      <c r="Z25" s="5">
        <f t="shared" si="18"/>
        <v>161848286.06475699</v>
      </c>
      <c r="AB25" s="5">
        <f t="shared" si="19"/>
        <v>33.811924607999998</v>
      </c>
      <c r="AC25" s="5">
        <f t="shared" si="20"/>
        <v>1054.9320477696001</v>
      </c>
      <c r="AD25" s="5">
        <f t="shared" si="21"/>
        <v>32.256504226988703</v>
      </c>
      <c r="AF25" s="5">
        <f t="shared" si="22"/>
        <v>317781640.97204202</v>
      </c>
      <c r="AG25" s="5">
        <v>24</v>
      </c>
      <c r="AH25" s="6">
        <v>23.949259999999999</v>
      </c>
      <c r="AI25" s="6">
        <v>35.125709999999998</v>
      </c>
      <c r="AJ25" s="5">
        <f t="shared" si="23"/>
        <v>59.07497</v>
      </c>
      <c r="AK25" s="5">
        <v>59.07497</v>
      </c>
      <c r="AN25" s="5">
        <v>11.176450000000001</v>
      </c>
      <c r="AO25" s="5">
        <f t="shared" si="24"/>
        <v>5.5882250000000004</v>
      </c>
      <c r="AP25" s="6">
        <v>10.547079999999999</v>
      </c>
      <c r="AQ25" s="5">
        <f t="shared" si="25"/>
        <v>16.135304999999999</v>
      </c>
    </row>
    <row r="26" spans="1:43">
      <c r="A26" s="5">
        <v>25</v>
      </c>
      <c r="B26" s="6">
        <v>6.9566400000000002</v>
      </c>
      <c r="C26" s="6">
        <v>45.262270000000001</v>
      </c>
      <c r="D26" s="5">
        <v>8.3172899999999998</v>
      </c>
      <c r="E26" s="5">
        <f t="shared" si="0"/>
        <v>21.994459200000001</v>
      </c>
      <c r="G26" s="5">
        <f t="shared" si="1"/>
        <v>4.3988918400000001</v>
      </c>
      <c r="H26" s="5">
        <f t="shared" si="2"/>
        <v>1.7416020754285699</v>
      </c>
      <c r="I26" s="5">
        <f t="shared" si="3"/>
        <v>1.759556736</v>
      </c>
      <c r="J26" s="5">
        <f t="shared" si="4"/>
        <v>2.61240311314286</v>
      </c>
      <c r="K26" s="5">
        <f t="shared" si="5"/>
        <v>2.6393351040000002</v>
      </c>
      <c r="L26" s="5">
        <f t="shared" si="6"/>
        <v>44750657.355211698</v>
      </c>
      <c r="N26" s="5">
        <f t="shared" si="7"/>
        <v>5.9385039839999996</v>
      </c>
      <c r="O26" s="5">
        <f t="shared" si="8"/>
        <v>3.4092994095194298</v>
      </c>
      <c r="P26" s="5">
        <f t="shared" si="9"/>
        <v>3.5631023904000001</v>
      </c>
      <c r="Q26" s="5">
        <f t="shared" si="10"/>
        <v>2.2728662730129501</v>
      </c>
      <c r="R26" s="5">
        <f t="shared" si="11"/>
        <v>2.3754015935999999</v>
      </c>
      <c r="S26" s="5">
        <f t="shared" si="12"/>
        <v>55226266.6668154</v>
      </c>
      <c r="U26" s="5">
        <f t="shared" si="13"/>
        <v>11.657063376</v>
      </c>
      <c r="V26" s="5">
        <f t="shared" si="14"/>
        <v>4.0533480245066702</v>
      </c>
      <c r="W26" s="5">
        <f t="shared" si="15"/>
        <v>5.0125372516800004</v>
      </c>
      <c r="X26" s="5">
        <f t="shared" si="16"/>
        <v>5.3730427301599999</v>
      </c>
      <c r="Y26" s="5">
        <f t="shared" si="17"/>
        <v>6.6445261243199996</v>
      </c>
      <c r="Z26" s="5">
        <f t="shared" si="18"/>
        <v>91945724.101424307</v>
      </c>
      <c r="AB26" s="5">
        <f t="shared" si="19"/>
        <v>19.355124096000001</v>
      </c>
      <c r="AC26" s="5">
        <f t="shared" si="20"/>
        <v>603.87987179519996</v>
      </c>
      <c r="AD26" s="5">
        <f t="shared" si="21"/>
        <v>19.462561625770501</v>
      </c>
      <c r="AF26" s="5">
        <f t="shared" si="22"/>
        <v>191922648.12345099</v>
      </c>
      <c r="AG26" s="5">
        <v>25</v>
      </c>
      <c r="AH26" s="6">
        <v>31.846319999999999</v>
      </c>
      <c r="AI26" s="6">
        <v>34.567619999999998</v>
      </c>
      <c r="AJ26" s="5">
        <f t="shared" si="23"/>
        <v>66.413939999999997</v>
      </c>
      <c r="AK26" s="5">
        <v>66.413939999999997</v>
      </c>
      <c r="AN26" s="5">
        <v>2.7212999999999998</v>
      </c>
      <c r="AO26" s="5">
        <f t="shared" si="24"/>
        <v>1.3606499999999999</v>
      </c>
      <c r="AP26" s="6">
        <v>6.9566400000000002</v>
      </c>
      <c r="AQ26" s="5">
        <f t="shared" si="25"/>
        <v>8.3172899999999998</v>
      </c>
    </row>
    <row r="27" spans="1:43">
      <c r="A27" s="5">
        <v>26</v>
      </c>
      <c r="B27" s="6">
        <v>7.3911499999999997</v>
      </c>
      <c r="C27" s="6">
        <v>44.256030000000003</v>
      </c>
      <c r="D27" s="5">
        <v>9.4606399999999997</v>
      </c>
      <c r="E27" s="5">
        <f t="shared" si="0"/>
        <v>24.266577600000002</v>
      </c>
      <c r="G27" s="5">
        <f t="shared" si="1"/>
        <v>4.8533155199999998</v>
      </c>
      <c r="H27" s="5">
        <f t="shared" si="2"/>
        <v>4.5331415707701499</v>
      </c>
      <c r="I27" s="5">
        <f t="shared" si="3"/>
        <v>1.941326208</v>
      </c>
      <c r="J27" s="5">
        <f t="shared" si="4"/>
        <v>6.7997123561552204</v>
      </c>
      <c r="K27" s="5">
        <f t="shared" si="5"/>
        <v>2.9119893120000002</v>
      </c>
      <c r="L27" s="5">
        <f t="shared" si="6"/>
        <v>116479572.48</v>
      </c>
      <c r="N27" s="5">
        <f t="shared" si="7"/>
        <v>6.5519759520000003</v>
      </c>
      <c r="O27" s="5">
        <f t="shared" si="8"/>
        <v>10.1523241063081</v>
      </c>
      <c r="P27" s="5">
        <f t="shared" si="9"/>
        <v>3.9311855711999999</v>
      </c>
      <c r="Q27" s="5">
        <f t="shared" si="10"/>
        <v>6.7682160708720902</v>
      </c>
      <c r="R27" s="5">
        <f t="shared" si="11"/>
        <v>2.6207903807999999</v>
      </c>
      <c r="S27" s="5">
        <f t="shared" si="12"/>
        <v>164454596.39520001</v>
      </c>
      <c r="U27" s="5">
        <f t="shared" si="13"/>
        <v>12.861286128</v>
      </c>
      <c r="V27" s="5">
        <f t="shared" si="14"/>
        <v>14.3516555874101</v>
      </c>
      <c r="W27" s="5">
        <f t="shared" si="15"/>
        <v>5.5303530350400001</v>
      </c>
      <c r="X27" s="5">
        <f t="shared" si="16"/>
        <v>19.024287639125099</v>
      </c>
      <c r="Y27" s="5">
        <f t="shared" si="17"/>
        <v>7.3309330929599996</v>
      </c>
      <c r="Z27" s="5">
        <f t="shared" si="18"/>
        <v>325551459.45043403</v>
      </c>
      <c r="AB27" s="5">
        <f t="shared" si="19"/>
        <v>21.354588287999999</v>
      </c>
      <c r="AC27" s="5">
        <f t="shared" si="20"/>
        <v>666.26315458559998</v>
      </c>
      <c r="AD27" s="5">
        <f t="shared" si="21"/>
        <v>61.629337330640801</v>
      </c>
      <c r="AF27" s="5">
        <f t="shared" si="22"/>
        <v>606485628.325634</v>
      </c>
      <c r="AG27" s="5">
        <v>26</v>
      </c>
      <c r="AH27" s="6">
        <v>25.67022</v>
      </c>
      <c r="AI27" s="6">
        <v>29.809190000000001</v>
      </c>
      <c r="AJ27" s="5">
        <f t="shared" si="23"/>
        <v>55.479410000000001</v>
      </c>
      <c r="AK27" s="5">
        <v>55.479410000000001</v>
      </c>
      <c r="AN27" s="5">
        <v>4.1389699999999996</v>
      </c>
      <c r="AO27" s="5">
        <f t="shared" si="24"/>
        <v>2.0694849999999998</v>
      </c>
      <c r="AP27" s="6">
        <v>7.3911499999999997</v>
      </c>
      <c r="AQ27" s="5">
        <f t="shared" si="25"/>
        <v>9.4606349999999999</v>
      </c>
    </row>
    <row r="28" spans="1:43">
      <c r="A28" s="5">
        <v>27</v>
      </c>
      <c r="B28" s="6">
        <v>7.9628800000000002</v>
      </c>
      <c r="C28" s="6">
        <v>45.834000000000003</v>
      </c>
      <c r="D28" s="5">
        <v>9.5183400000000002</v>
      </c>
      <c r="E28" s="5">
        <f t="shared" si="0"/>
        <v>25.172956800000001</v>
      </c>
      <c r="G28" s="5">
        <f t="shared" si="1"/>
        <v>5.0345913600000003</v>
      </c>
      <c r="H28" s="5">
        <f t="shared" si="2"/>
        <v>2.7594724336246101</v>
      </c>
      <c r="I28" s="5">
        <f t="shared" si="3"/>
        <v>2.0138365440000001</v>
      </c>
      <c r="J28" s="5">
        <f t="shared" si="4"/>
        <v>4.1392086504369203</v>
      </c>
      <c r="K28" s="5">
        <f t="shared" si="5"/>
        <v>3.0207548160000002</v>
      </c>
      <c r="L28" s="5">
        <f t="shared" si="6"/>
        <v>70904948.438293099</v>
      </c>
      <c r="N28" s="5">
        <f t="shared" si="7"/>
        <v>6.7966983360000004</v>
      </c>
      <c r="O28" s="5">
        <f t="shared" si="8"/>
        <v>4.8470168704731504</v>
      </c>
      <c r="P28" s="5">
        <f t="shared" si="9"/>
        <v>4.0780190016000004</v>
      </c>
      <c r="Q28" s="5">
        <f t="shared" si="10"/>
        <v>3.2313445803154299</v>
      </c>
      <c r="R28" s="5">
        <f t="shared" si="11"/>
        <v>2.7186793344</v>
      </c>
      <c r="S28" s="5">
        <f t="shared" si="12"/>
        <v>78515440.879108801</v>
      </c>
      <c r="U28" s="5">
        <f t="shared" si="13"/>
        <v>13.341667104000001</v>
      </c>
      <c r="V28" s="5">
        <f t="shared" si="14"/>
        <v>6.4205908840389698</v>
      </c>
      <c r="W28" s="5">
        <f t="shared" si="15"/>
        <v>5.7369168547199996</v>
      </c>
      <c r="X28" s="5">
        <f t="shared" si="16"/>
        <v>8.5110158230283997</v>
      </c>
      <c r="Y28" s="5">
        <f t="shared" si="17"/>
        <v>7.6047502492800003</v>
      </c>
      <c r="Z28" s="5">
        <f t="shared" si="18"/>
        <v>145644014.38581601</v>
      </c>
      <c r="AB28" s="5">
        <f t="shared" si="19"/>
        <v>22.152201984000001</v>
      </c>
      <c r="AC28" s="5">
        <f t="shared" si="20"/>
        <v>691.14870190080001</v>
      </c>
      <c r="AD28" s="5">
        <f t="shared" si="21"/>
        <v>29.908649241917502</v>
      </c>
      <c r="AF28" s="5">
        <f t="shared" si="22"/>
        <v>295064403.70321798</v>
      </c>
      <c r="AG28" s="5">
        <v>27</v>
      </c>
      <c r="AH28" s="6">
        <v>22.683589999999999</v>
      </c>
      <c r="AI28" s="6">
        <v>19.572669999999999</v>
      </c>
      <c r="AJ28" s="5">
        <f t="shared" si="23"/>
        <v>42.256259999999997</v>
      </c>
      <c r="AK28" s="5">
        <v>42.256259999999997</v>
      </c>
      <c r="AN28" s="5">
        <v>3.1109200000000001</v>
      </c>
      <c r="AO28" s="5">
        <f t="shared" si="24"/>
        <v>1.5554600000000001</v>
      </c>
      <c r="AP28" s="6">
        <v>7.9628800000000002</v>
      </c>
      <c r="AQ28" s="5">
        <f t="shared" si="25"/>
        <v>9.5183400000000002</v>
      </c>
    </row>
    <row r="29" spans="1:43">
      <c r="A29" s="5">
        <v>28</v>
      </c>
      <c r="B29" s="6">
        <v>9.2435399999999994</v>
      </c>
      <c r="C29" s="6">
        <v>47.54918</v>
      </c>
      <c r="D29" s="5">
        <v>12.05733</v>
      </c>
      <c r="E29" s="5">
        <f t="shared" si="0"/>
        <v>30.6732528</v>
      </c>
      <c r="G29" s="5">
        <f t="shared" si="1"/>
        <v>6.1346505599999999</v>
      </c>
      <c r="H29" s="5">
        <f t="shared" si="2"/>
        <v>2.30922872735364</v>
      </c>
      <c r="I29" s="5">
        <f t="shared" si="3"/>
        <v>2.453860224</v>
      </c>
      <c r="J29" s="5">
        <f t="shared" si="4"/>
        <v>3.4638430910304598</v>
      </c>
      <c r="K29" s="5">
        <f t="shared" si="5"/>
        <v>3.6807903359999998</v>
      </c>
      <c r="L29" s="5">
        <f t="shared" si="6"/>
        <v>59335886.7622988</v>
      </c>
      <c r="N29" s="5">
        <f t="shared" si="7"/>
        <v>8.2817782560000008</v>
      </c>
      <c r="O29" s="5">
        <f t="shared" si="8"/>
        <v>5.14263074111257</v>
      </c>
      <c r="P29" s="5">
        <f t="shared" si="9"/>
        <v>4.9690669535999996</v>
      </c>
      <c r="Q29" s="5">
        <f t="shared" si="10"/>
        <v>3.4284204940750498</v>
      </c>
      <c r="R29" s="5">
        <f t="shared" si="11"/>
        <v>3.3127113023999999</v>
      </c>
      <c r="S29" s="5">
        <f t="shared" si="12"/>
        <v>83304005.475329906</v>
      </c>
      <c r="U29" s="5">
        <f t="shared" si="13"/>
        <v>16.256823984</v>
      </c>
      <c r="V29" s="5">
        <f t="shared" si="14"/>
        <v>5.7568282578635301</v>
      </c>
      <c r="W29" s="5">
        <f t="shared" si="15"/>
        <v>6.9904343131199997</v>
      </c>
      <c r="X29" s="5">
        <f t="shared" si="16"/>
        <v>7.6311444348423496</v>
      </c>
      <c r="Y29" s="5">
        <f t="shared" si="17"/>
        <v>9.2663896708800007</v>
      </c>
      <c r="Z29" s="5">
        <f t="shared" si="18"/>
        <v>130587292.158617</v>
      </c>
      <c r="AB29" s="5">
        <f t="shared" si="19"/>
        <v>26.992462463999999</v>
      </c>
      <c r="AC29" s="5">
        <f t="shared" si="20"/>
        <v>842.16482887680002</v>
      </c>
      <c r="AD29" s="5">
        <f t="shared" si="21"/>
        <v>27.732095746277601</v>
      </c>
      <c r="AF29" s="5">
        <f t="shared" si="22"/>
        <v>273227184.396245</v>
      </c>
      <c r="AG29" s="5">
        <v>28</v>
      </c>
      <c r="AH29" s="6">
        <v>21.949259999999999</v>
      </c>
      <c r="AI29" s="6">
        <v>27.576830000000001</v>
      </c>
      <c r="AJ29" s="5">
        <f t="shared" si="23"/>
        <v>49.526090000000003</v>
      </c>
      <c r="AK29" s="5">
        <v>49.526090000000003</v>
      </c>
      <c r="AN29" s="5">
        <v>5.6275700000000004</v>
      </c>
      <c r="AO29" s="5">
        <f t="shared" si="24"/>
        <v>2.8137850000000002</v>
      </c>
      <c r="AP29" s="6">
        <v>9.2435399999999994</v>
      </c>
      <c r="AQ29" s="5">
        <f t="shared" si="25"/>
        <v>12.057325000000001</v>
      </c>
    </row>
    <row r="30" spans="1:43">
      <c r="A30" s="5">
        <v>29</v>
      </c>
      <c r="B30" s="6">
        <v>7.3911499999999997</v>
      </c>
      <c r="C30" s="6">
        <v>46.405720000000002</v>
      </c>
      <c r="D30" s="5">
        <v>14.58624</v>
      </c>
      <c r="E30" s="5">
        <f t="shared" si="0"/>
        <v>31.647441600000001</v>
      </c>
      <c r="G30" s="5">
        <f t="shared" si="1"/>
        <v>6.3294883200000003</v>
      </c>
      <c r="H30" s="5">
        <f t="shared" si="2"/>
        <v>2.1785568181652701</v>
      </c>
      <c r="I30" s="5">
        <f t="shared" si="3"/>
        <v>2.5317953279999998</v>
      </c>
      <c r="J30" s="5">
        <f t="shared" si="4"/>
        <v>3.2678352272479101</v>
      </c>
      <c r="K30" s="5">
        <f t="shared" si="5"/>
        <v>3.797692992</v>
      </c>
      <c r="L30" s="5">
        <f t="shared" si="6"/>
        <v>55978257.647966698</v>
      </c>
      <c r="N30" s="5">
        <f t="shared" si="7"/>
        <v>8.5448092320000004</v>
      </c>
      <c r="O30" s="5">
        <f t="shared" si="8"/>
        <v>4.4731216113825498</v>
      </c>
      <c r="P30" s="5">
        <f t="shared" si="9"/>
        <v>5.1268855391999999</v>
      </c>
      <c r="Q30" s="5">
        <f t="shared" si="10"/>
        <v>2.9820810742550301</v>
      </c>
      <c r="R30" s="5">
        <f t="shared" si="11"/>
        <v>3.4179236928000001</v>
      </c>
      <c r="S30" s="5">
        <f t="shared" si="12"/>
        <v>72458818.446259499</v>
      </c>
      <c r="U30" s="5">
        <f t="shared" si="13"/>
        <v>16.773144047999999</v>
      </c>
      <c r="V30" s="5">
        <f t="shared" si="14"/>
        <v>5.8768126923733401</v>
      </c>
      <c r="W30" s="5">
        <f t="shared" si="15"/>
        <v>7.2124519406400003</v>
      </c>
      <c r="X30" s="5">
        <f t="shared" si="16"/>
        <v>7.7901935689600004</v>
      </c>
      <c r="Y30" s="5">
        <f t="shared" si="17"/>
        <v>9.5606921073599995</v>
      </c>
      <c r="Z30" s="5">
        <f t="shared" si="18"/>
        <v>133309006.564881</v>
      </c>
      <c r="AB30" s="5">
        <f t="shared" si="19"/>
        <v>27.849748607999999</v>
      </c>
      <c r="AC30" s="5">
        <f t="shared" si="20"/>
        <v>868.91215656960003</v>
      </c>
      <c r="AD30" s="5">
        <f t="shared" si="21"/>
        <v>26.568600992384098</v>
      </c>
      <c r="AF30" s="5">
        <f t="shared" si="22"/>
        <v>261746082.659107</v>
      </c>
      <c r="AG30" s="5">
        <v>29</v>
      </c>
      <c r="AH30" s="6">
        <v>15.97711</v>
      </c>
      <c r="AI30" s="6">
        <v>30.367280000000001</v>
      </c>
      <c r="AJ30" s="5">
        <f t="shared" si="23"/>
        <v>46.344389999999997</v>
      </c>
      <c r="AK30" s="5">
        <v>46.344389999999997</v>
      </c>
      <c r="AN30" s="5">
        <v>14.390169999999999</v>
      </c>
      <c r="AO30" s="5">
        <f t="shared" si="24"/>
        <v>7.1950849999999997</v>
      </c>
      <c r="AP30" s="6">
        <v>7.3911499999999997</v>
      </c>
      <c r="AQ30" s="5">
        <f t="shared" si="25"/>
        <v>14.586235</v>
      </c>
    </row>
    <row r="31" spans="1:43">
      <c r="A31" s="5">
        <v>30</v>
      </c>
      <c r="B31" s="6">
        <v>6.6822100000000004</v>
      </c>
      <c r="C31" s="6">
        <v>47.25188</v>
      </c>
      <c r="D31" s="5">
        <v>12.74507</v>
      </c>
      <c r="E31" s="5">
        <f t="shared" si="0"/>
        <v>27.9752832</v>
      </c>
      <c r="G31" s="5">
        <f t="shared" si="1"/>
        <v>5.5950566400000001</v>
      </c>
      <c r="H31" s="5">
        <f t="shared" si="2"/>
        <v>2.2151856901224498</v>
      </c>
      <c r="I31" s="5">
        <f t="shared" si="3"/>
        <v>2.2380226560000001</v>
      </c>
      <c r="J31" s="5">
        <f t="shared" si="4"/>
        <v>3.3227785351836698</v>
      </c>
      <c r="K31" s="5">
        <f t="shared" si="5"/>
        <v>3.3570339840000001</v>
      </c>
      <c r="L31" s="5">
        <f t="shared" si="6"/>
        <v>56919440.551564403</v>
      </c>
      <c r="N31" s="5">
        <f t="shared" si="7"/>
        <v>7.5533264640000004</v>
      </c>
      <c r="O31" s="5">
        <f t="shared" si="8"/>
        <v>4.3363701570302204</v>
      </c>
      <c r="P31" s="5">
        <f t="shared" si="9"/>
        <v>4.5319958784000001</v>
      </c>
      <c r="Q31" s="5">
        <f t="shared" si="10"/>
        <v>2.89091343802014</v>
      </c>
      <c r="R31" s="5">
        <f t="shared" si="11"/>
        <v>3.0213305855999999</v>
      </c>
      <c r="S31" s="5">
        <f t="shared" si="12"/>
        <v>70243620.724390402</v>
      </c>
      <c r="U31" s="5">
        <f t="shared" si="13"/>
        <v>14.826900095999999</v>
      </c>
      <c r="V31" s="5">
        <f t="shared" si="14"/>
        <v>5.1555511259733304</v>
      </c>
      <c r="W31" s="5">
        <f t="shared" si="15"/>
        <v>6.3755670412800001</v>
      </c>
      <c r="X31" s="5">
        <f t="shared" si="16"/>
        <v>6.8341026553599997</v>
      </c>
      <c r="Y31" s="5">
        <f t="shared" si="17"/>
        <v>8.4513330547199992</v>
      </c>
      <c r="Z31" s="5">
        <f t="shared" si="18"/>
        <v>116947984.370828</v>
      </c>
      <c r="AB31" s="5">
        <f t="shared" si="19"/>
        <v>24.618249215999999</v>
      </c>
      <c r="AC31" s="5">
        <f t="shared" si="20"/>
        <v>768.08937553919998</v>
      </c>
      <c r="AD31" s="5">
        <f t="shared" si="21"/>
        <v>24.754901601689799</v>
      </c>
      <c r="AF31" s="5">
        <f t="shared" si="22"/>
        <v>244111045.64678299</v>
      </c>
      <c r="AG31" s="5">
        <v>30</v>
      </c>
      <c r="AH31" s="6">
        <v>23</v>
      </c>
      <c r="AI31" s="6">
        <v>35.125709999999998</v>
      </c>
      <c r="AJ31" s="5">
        <f t="shared" si="23"/>
        <v>58.125709999999998</v>
      </c>
      <c r="AK31" s="5">
        <v>58.125709999999998</v>
      </c>
      <c r="AN31" s="5">
        <v>12.12571</v>
      </c>
      <c r="AO31" s="5">
        <f t="shared" si="24"/>
        <v>6.0628549999999999</v>
      </c>
      <c r="AP31" s="6">
        <v>6.6822100000000004</v>
      </c>
      <c r="AQ31" s="5">
        <f t="shared" si="25"/>
        <v>12.745065</v>
      </c>
    </row>
    <row r="32" spans="1:43">
      <c r="AC32" s="5">
        <f>SUM(AC2:AC31)</f>
        <v>27213.621617664001</v>
      </c>
      <c r="AD32" s="5">
        <f>SUM(AD2:AD31)</f>
        <v>1321.5078442097199</v>
      </c>
      <c r="AF32" s="8">
        <f>SUM(AF2:AF31)</f>
        <v>13016392387.3584</v>
      </c>
    </row>
    <row r="36" spans="10:36">
      <c r="O36" s="5">
        <v>2.58250950570342</v>
      </c>
      <c r="P36" s="7">
        <v>25100000</v>
      </c>
      <c r="U36" s="5">
        <v>2.5950704225352101</v>
      </c>
      <c r="V36" s="7">
        <v>25312512</v>
      </c>
    </row>
    <row r="37" spans="10:36">
      <c r="J37" s="5">
        <v>2.3350746268656701</v>
      </c>
      <c r="K37" s="7">
        <v>24000000</v>
      </c>
      <c r="O37" s="5">
        <v>1.1885714285714299</v>
      </c>
      <c r="P37" s="7">
        <f>P36*O37/O36</f>
        <v>11551997.307757</v>
      </c>
      <c r="U37" s="5">
        <v>1.1191709844559601</v>
      </c>
      <c r="V37" s="7">
        <f>V36*U37/U36</f>
        <v>10916477.9221744</v>
      </c>
    </row>
    <row r="38" spans="10:36">
      <c r="J38" s="5">
        <v>1.3702564102564101</v>
      </c>
      <c r="K38" s="7">
        <f>K37*J38/J37</f>
        <v>14083555.817784</v>
      </c>
      <c r="O38" s="5">
        <v>1.0349288486416599</v>
      </c>
      <c r="P38" s="7">
        <f>P36*O38/O36</f>
        <v>10058709.9654567</v>
      </c>
      <c r="U38" s="5">
        <v>0.82352941176470595</v>
      </c>
      <c r="V38" s="7">
        <f>V36*U38/U36</f>
        <v>8032767.79567404</v>
      </c>
    </row>
    <row r="39" spans="10:36">
      <c r="J39" s="5">
        <v>0.94105960264900701</v>
      </c>
      <c r="K39" s="7">
        <f>K37*J39/J37</f>
        <v>9672252.1000933498</v>
      </c>
      <c r="O39" s="5">
        <v>0.87248322147651003</v>
      </c>
      <c r="P39" s="7">
        <f>P36*O39/O36</f>
        <v>8479863.7955431193</v>
      </c>
      <c r="U39" s="5">
        <v>0.81481481481481499</v>
      </c>
      <c r="V39" s="7">
        <f>V36*U39/U36</f>
        <v>7947764.9618573897</v>
      </c>
    </row>
    <row r="40" spans="10:36">
      <c r="J40" s="5">
        <v>0.86047904191616797</v>
      </c>
      <c r="K40" s="7">
        <f>K37*J40/J37</f>
        <v>8844041.5429926403</v>
      </c>
      <c r="O40" s="5">
        <v>0.95683453237410099</v>
      </c>
      <c r="P40" s="7">
        <f>P36*O40/O36</f>
        <v>9299693.4607790895</v>
      </c>
      <c r="U40" s="5">
        <v>0.80864197530864201</v>
      </c>
      <c r="V40" s="7">
        <f>V36*U40/U36</f>
        <v>7887554.62123725</v>
      </c>
      <c r="AE40" s="5">
        <v>1</v>
      </c>
      <c r="AF40" s="5">
        <f ca="1">1.3+RAND()*(3-1.3)</f>
        <v>2.8561545696912614</v>
      </c>
      <c r="AG40" s="5">
        <v>2.7271566909642302</v>
      </c>
      <c r="AH40" s="6">
        <f>AG40*10000000000</f>
        <v>27271566909.6423</v>
      </c>
      <c r="AJ40" s="5">
        <v>13016392387.3584</v>
      </c>
    </row>
    <row r="41" spans="10:36">
      <c r="J41" s="5">
        <v>0.98979591836734704</v>
      </c>
      <c r="K41" s="7">
        <f>K37*J41/J37</f>
        <v>10173166.1024909</v>
      </c>
      <c r="O41" s="5">
        <v>2.58250950570342</v>
      </c>
      <c r="P41" s="7">
        <v>25100000</v>
      </c>
      <c r="U41" s="5">
        <v>2.5950704225352101</v>
      </c>
      <c r="V41" s="7">
        <v>25312512</v>
      </c>
      <c r="AE41" s="5">
        <v>2</v>
      </c>
      <c r="AF41" s="5">
        <f t="shared" ref="AF41:AF88" ca="1" si="26">1.3+RAND()*(3-1.3)</f>
        <v>2.0057077977011994</v>
      </c>
      <c r="AG41" s="5">
        <v>1.73449040517537</v>
      </c>
      <c r="AH41" s="6">
        <f t="shared" ref="AH41:AH88" si="27">AG41*10000000000</f>
        <v>17344904051.7537</v>
      </c>
    </row>
    <row r="42" spans="10:36">
      <c r="J42" s="5">
        <v>2.3350746268656701</v>
      </c>
      <c r="K42" s="7">
        <v>24000000</v>
      </c>
      <c r="O42" s="5">
        <v>1.1885714285714299</v>
      </c>
      <c r="P42" s="7">
        <f>P41*O42/O41</f>
        <v>11551997.307757</v>
      </c>
      <c r="U42" s="5">
        <v>1.1191709844559601</v>
      </c>
      <c r="V42" s="7">
        <f>V41*U42/U41</f>
        <v>10916477.9221744</v>
      </c>
      <c r="AE42" s="5">
        <v>3</v>
      </c>
      <c r="AF42" s="5">
        <f t="shared" ca="1" si="26"/>
        <v>2.2976225345027581</v>
      </c>
      <c r="AG42" s="5">
        <v>2.8613936257894999</v>
      </c>
      <c r="AH42" s="6">
        <f t="shared" si="27"/>
        <v>28613936257.895</v>
      </c>
    </row>
    <row r="43" spans="10:36">
      <c r="J43" s="5">
        <v>1.3702564102564101</v>
      </c>
      <c r="K43" s="7">
        <f>K42*J43/J42</f>
        <v>14083555.817784</v>
      </c>
      <c r="O43" s="5">
        <v>1.0349288486416599</v>
      </c>
      <c r="P43" s="7">
        <f>P41*O43/O41</f>
        <v>10058709.9654567</v>
      </c>
      <c r="U43" s="5">
        <v>0.82352941176470595</v>
      </c>
      <c r="V43" s="7">
        <f>V41*U43/U41</f>
        <v>8032767.79567404</v>
      </c>
      <c r="AE43" s="5">
        <v>4</v>
      </c>
      <c r="AF43" s="5">
        <f t="shared" ca="1" si="26"/>
        <v>2.9651716525848095</v>
      </c>
      <c r="AG43" s="5">
        <v>2.69412604532778</v>
      </c>
      <c r="AH43" s="6">
        <f t="shared" si="27"/>
        <v>26941260453.277802</v>
      </c>
    </row>
    <row r="44" spans="10:36">
      <c r="J44" s="5">
        <v>0.94105960264900701</v>
      </c>
      <c r="K44" s="7">
        <f>K42*J44/J42</f>
        <v>9672252.1000933498</v>
      </c>
      <c r="O44" s="5">
        <v>0.87248322147651003</v>
      </c>
      <c r="P44" s="7">
        <f>P41*O44/O41</f>
        <v>8479863.7955431193</v>
      </c>
      <c r="U44" s="5">
        <v>0.81481481481481499</v>
      </c>
      <c r="V44" s="7">
        <f>V41*U44/U41</f>
        <v>7947764.9618573897</v>
      </c>
      <c r="AE44" s="5">
        <v>5</v>
      </c>
      <c r="AF44" s="5">
        <f t="shared" ca="1" si="26"/>
        <v>1.6389826755222561</v>
      </c>
      <c r="AG44" s="5">
        <v>1.8858788667294499</v>
      </c>
      <c r="AH44" s="6">
        <f t="shared" si="27"/>
        <v>18858788667.294498</v>
      </c>
    </row>
    <row r="45" spans="10:36">
      <c r="J45" s="5">
        <v>0.86047904191616797</v>
      </c>
      <c r="K45" s="7">
        <f>K42*J45/J42</f>
        <v>8844041.5429926403</v>
      </c>
      <c r="O45" s="5">
        <v>0.95683453237410099</v>
      </c>
      <c r="P45" s="7">
        <f>P41*O45/O41</f>
        <v>9299693.4607790895</v>
      </c>
      <c r="U45" s="5">
        <v>0.80864197530864201</v>
      </c>
      <c r="V45" s="7">
        <f>V41*U45/U41</f>
        <v>7887554.62123725</v>
      </c>
      <c r="AE45" s="5">
        <v>6</v>
      </c>
      <c r="AF45" s="5">
        <f t="shared" ca="1" si="26"/>
        <v>1.9218983969082117</v>
      </c>
      <c r="AG45" s="5">
        <v>2.0671840913900201</v>
      </c>
      <c r="AH45" s="6">
        <f t="shared" si="27"/>
        <v>20671840913.9002</v>
      </c>
    </row>
    <row r="46" spans="10:36">
      <c r="J46" s="5">
        <v>0.98979591836734704</v>
      </c>
      <c r="K46" s="7">
        <f>K42*J46/J42</f>
        <v>10173166.1024909</v>
      </c>
      <c r="O46" s="5">
        <v>2.58250950570342</v>
      </c>
      <c r="P46" s="7">
        <v>25100000</v>
      </c>
      <c r="U46" s="5">
        <v>2.5950704225352101</v>
      </c>
      <c r="V46" s="7">
        <v>25312512</v>
      </c>
      <c r="AE46" s="5">
        <v>7</v>
      </c>
      <c r="AF46" s="5">
        <f t="shared" ca="1" si="26"/>
        <v>1.6090243909007254</v>
      </c>
      <c r="AG46" s="5">
        <v>1.3269143351008901</v>
      </c>
      <c r="AH46" s="6">
        <f t="shared" si="27"/>
        <v>13269143351.0089</v>
      </c>
    </row>
    <row r="47" spans="10:36">
      <c r="J47" s="5">
        <v>2.3350746268656701</v>
      </c>
      <c r="K47" s="7">
        <v>24000000</v>
      </c>
      <c r="O47" s="5">
        <v>1.1885714285714299</v>
      </c>
      <c r="P47" s="7">
        <f>P46*O47/O46</f>
        <v>11551997.307757</v>
      </c>
      <c r="U47" s="5">
        <v>1.1191709844559601</v>
      </c>
      <c r="V47" s="7">
        <f>V46*U47/U46</f>
        <v>10916477.9221744</v>
      </c>
      <c r="AE47" s="5">
        <v>8</v>
      </c>
      <c r="AF47" s="5">
        <f t="shared" ca="1" si="26"/>
        <v>1.5774621241697007</v>
      </c>
      <c r="AG47" s="5">
        <v>2.2942723244339298</v>
      </c>
      <c r="AH47" s="6">
        <f t="shared" si="27"/>
        <v>22942723244.339298</v>
      </c>
    </row>
    <row r="48" spans="10:36">
      <c r="J48" s="5">
        <v>1.3702564102564101</v>
      </c>
      <c r="K48" s="7">
        <f>K47*J48/J47</f>
        <v>14083555.817784</v>
      </c>
      <c r="O48" s="5">
        <v>1.0349288486416599</v>
      </c>
      <c r="P48" s="7">
        <f>P46*O48/O46</f>
        <v>10058709.9654567</v>
      </c>
      <c r="U48" s="5">
        <v>0.82352941176470595</v>
      </c>
      <c r="V48" s="7">
        <f>V46*U48/U46</f>
        <v>8032767.79567404</v>
      </c>
      <c r="AE48" s="5">
        <v>9</v>
      </c>
      <c r="AF48" s="5">
        <f t="shared" ca="1" si="26"/>
        <v>1.8568199588544649</v>
      </c>
      <c r="AG48" s="5">
        <v>1.6857440355245199</v>
      </c>
      <c r="AH48" s="6">
        <f t="shared" si="27"/>
        <v>16857440355.245199</v>
      </c>
    </row>
    <row r="49" spans="10:34">
      <c r="J49" s="5">
        <v>0.94105960264900701</v>
      </c>
      <c r="K49" s="7">
        <f>K47*J49/J47</f>
        <v>9672252.1000933498</v>
      </c>
      <c r="O49" s="5">
        <v>0.87248322147651003</v>
      </c>
      <c r="P49" s="7">
        <f>P46*O49/O46</f>
        <v>8479863.7955431193</v>
      </c>
      <c r="U49" s="5">
        <v>0.81481481481481499</v>
      </c>
      <c r="V49" s="7">
        <f>V46*U49/U46</f>
        <v>7947764.9618573897</v>
      </c>
      <c r="AE49" s="5">
        <v>10</v>
      </c>
      <c r="AF49" s="5">
        <f t="shared" ca="1" si="26"/>
        <v>1.8176559220758095</v>
      </c>
      <c r="AG49" s="5">
        <v>2.98931780534561</v>
      </c>
      <c r="AH49" s="6">
        <f t="shared" si="27"/>
        <v>29893178053.4561</v>
      </c>
    </row>
    <row r="50" spans="10:34">
      <c r="J50" s="5">
        <v>0.86047904191616797</v>
      </c>
      <c r="K50" s="7">
        <f>K47*J50/J47</f>
        <v>8844041.5429926403</v>
      </c>
      <c r="O50" s="5">
        <v>0.95683453237410099</v>
      </c>
      <c r="P50" s="7">
        <f>P46*O50/O46</f>
        <v>9299693.4607790895</v>
      </c>
      <c r="U50" s="5">
        <v>0.80864197530864201</v>
      </c>
      <c r="V50" s="7">
        <f>V46*U50/U46</f>
        <v>7887554.62123725</v>
      </c>
      <c r="AE50" s="5">
        <v>11</v>
      </c>
      <c r="AF50" s="5">
        <f t="shared" ca="1" si="26"/>
        <v>2.8141753499679059</v>
      </c>
      <c r="AG50" s="5">
        <v>2.1517938196213202</v>
      </c>
      <c r="AH50" s="6">
        <f t="shared" si="27"/>
        <v>21517938196.2132</v>
      </c>
    </row>
    <row r="51" spans="10:34">
      <c r="J51" s="5">
        <v>0.98979591836734704</v>
      </c>
      <c r="K51" s="7">
        <f>K47*J51/J47</f>
        <v>10173166.1024909</v>
      </c>
      <c r="O51" s="5">
        <v>2.58250950570342</v>
      </c>
      <c r="P51" s="7">
        <v>25100000</v>
      </c>
      <c r="U51" s="5">
        <v>2.5950704225352101</v>
      </c>
      <c r="V51" s="7">
        <v>25312512</v>
      </c>
      <c r="AE51" s="5">
        <v>12</v>
      </c>
      <c r="AF51" s="5">
        <f t="shared" ca="1" si="26"/>
        <v>1.3823210158501689</v>
      </c>
      <c r="AG51" s="5">
        <v>2.6250499210603002</v>
      </c>
      <c r="AH51" s="6">
        <f t="shared" si="27"/>
        <v>26250499210.603001</v>
      </c>
    </row>
    <row r="52" spans="10:34">
      <c r="J52" s="5">
        <v>2.3350746268656701</v>
      </c>
      <c r="K52" s="7">
        <v>24000000</v>
      </c>
      <c r="O52" s="5">
        <v>1.1885714285714299</v>
      </c>
      <c r="P52" s="7">
        <f>P51*O52/O51</f>
        <v>11551997.307757</v>
      </c>
      <c r="U52" s="5">
        <v>1.1191709844559601</v>
      </c>
      <c r="V52" s="7">
        <f>V51*U52/U51</f>
        <v>10916477.9221744</v>
      </c>
      <c r="AE52" s="5">
        <v>13</v>
      </c>
      <c r="AF52" s="5">
        <f t="shared" ca="1" si="26"/>
        <v>1.8724912845512698</v>
      </c>
      <c r="AG52" s="5">
        <v>2.48108075150913</v>
      </c>
      <c r="AH52" s="6">
        <f t="shared" si="27"/>
        <v>24810807515.091301</v>
      </c>
    </row>
    <row r="53" spans="10:34">
      <c r="J53" s="5">
        <v>1.3702564102564101</v>
      </c>
      <c r="K53" s="7">
        <f>K52*J53/J52</f>
        <v>14083555.817784</v>
      </c>
      <c r="O53" s="5">
        <v>1.0349288486416599</v>
      </c>
      <c r="P53" s="7">
        <f>P51*O53/O51</f>
        <v>10058709.9654567</v>
      </c>
      <c r="U53" s="5">
        <v>0.82352941176470595</v>
      </c>
      <c r="V53" s="7">
        <f>V51*U53/U51</f>
        <v>8032767.79567404</v>
      </c>
      <c r="AE53" s="5">
        <v>14</v>
      </c>
      <c r="AF53" s="5">
        <f t="shared" ca="1" si="26"/>
        <v>2.7372273177858357</v>
      </c>
      <c r="AG53" s="5">
        <v>2.3268403802820701</v>
      </c>
      <c r="AH53" s="6">
        <f t="shared" si="27"/>
        <v>23268403802.820702</v>
      </c>
    </row>
    <row r="54" spans="10:34">
      <c r="J54" s="5">
        <v>0.94105960264900701</v>
      </c>
      <c r="K54" s="7">
        <f>K52*J54/J52</f>
        <v>9672252.1000933498</v>
      </c>
      <c r="O54" s="5">
        <v>0.87248322147651003</v>
      </c>
      <c r="P54" s="7">
        <f>P51*O54/O51</f>
        <v>8479863.7955431193</v>
      </c>
      <c r="U54" s="5">
        <v>0.81481481481481499</v>
      </c>
      <c r="V54" s="7">
        <f>V51*U54/U51</f>
        <v>7947764.9618573897</v>
      </c>
      <c r="AE54" s="5">
        <v>15</v>
      </c>
      <c r="AF54" s="5">
        <f t="shared" ca="1" si="26"/>
        <v>2.4716538639483367</v>
      </c>
      <c r="AG54" s="5">
        <v>2.9799124337172098</v>
      </c>
      <c r="AH54" s="6">
        <f t="shared" si="27"/>
        <v>29799124337.1721</v>
      </c>
    </row>
    <row r="55" spans="10:34">
      <c r="J55" s="5">
        <v>0.86047904191616797</v>
      </c>
      <c r="K55" s="7">
        <f>K52*J55/J52</f>
        <v>8844041.5429926403</v>
      </c>
      <c r="O55" s="5">
        <v>0.95683453237410099</v>
      </c>
      <c r="P55" s="7">
        <f>P51*O55/O51</f>
        <v>9299693.4607790895</v>
      </c>
      <c r="U55" s="5">
        <v>0.80864197530864201</v>
      </c>
      <c r="V55" s="7">
        <f>V51*U55/U51</f>
        <v>7887554.62123725</v>
      </c>
      <c r="AE55" s="5">
        <v>16</v>
      </c>
      <c r="AF55" s="5">
        <f t="shared" ca="1" si="26"/>
        <v>1.8919066861068132</v>
      </c>
      <c r="AG55" s="5">
        <v>2.45600528886632</v>
      </c>
      <c r="AH55" s="6">
        <f t="shared" si="27"/>
        <v>24560052888.6632</v>
      </c>
    </row>
    <row r="56" spans="10:34">
      <c r="J56" s="5">
        <v>0.98979591836734704</v>
      </c>
      <c r="K56" s="7">
        <f>K52*J56/J52</f>
        <v>10173166.1024909</v>
      </c>
      <c r="O56" s="5">
        <v>2.58250950570342</v>
      </c>
      <c r="P56" s="7">
        <v>25100000</v>
      </c>
      <c r="U56" s="5">
        <v>2.5950704225352101</v>
      </c>
      <c r="V56" s="7">
        <v>25312512</v>
      </c>
      <c r="AE56" s="5">
        <v>17</v>
      </c>
      <c r="AF56" s="5">
        <f t="shared" ca="1" si="26"/>
        <v>2.4445198911235528</v>
      </c>
      <c r="AG56" s="5">
        <v>1.88598593907856</v>
      </c>
      <c r="AH56" s="6">
        <f t="shared" si="27"/>
        <v>18859859390.785599</v>
      </c>
    </row>
    <row r="57" spans="10:34">
      <c r="J57" s="5">
        <v>2.3350746268656701</v>
      </c>
      <c r="K57" s="7">
        <v>24000000</v>
      </c>
      <c r="O57" s="5">
        <v>1.1885714285714299</v>
      </c>
      <c r="P57" s="7">
        <f>P56*O57/O56</f>
        <v>11551997.307757</v>
      </c>
      <c r="U57" s="5">
        <v>1.1191709844559601</v>
      </c>
      <c r="V57" s="7">
        <f>V56*U57/U56</f>
        <v>10916477.9221744</v>
      </c>
      <c r="AE57" s="5">
        <v>18</v>
      </c>
      <c r="AF57" s="5">
        <f t="shared" ca="1" si="26"/>
        <v>2.4458277391347503</v>
      </c>
      <c r="AG57" s="5">
        <v>1.75494956903375</v>
      </c>
      <c r="AH57" s="6">
        <f t="shared" si="27"/>
        <v>17549495690.337502</v>
      </c>
    </row>
    <row r="58" spans="10:34">
      <c r="J58" s="5">
        <v>1.3702564102564101</v>
      </c>
      <c r="K58" s="7">
        <f>K57*J58/J57</f>
        <v>14083555.817784</v>
      </c>
      <c r="O58" s="5">
        <v>1.0349288486416599</v>
      </c>
      <c r="P58" s="7">
        <f>P56*O58/O56</f>
        <v>10058709.9654567</v>
      </c>
      <c r="U58" s="5">
        <v>0.82352941176470595</v>
      </c>
      <c r="V58" s="7">
        <f>V56*U58/U56</f>
        <v>8032767.79567404</v>
      </c>
      <c r="AE58" s="5">
        <v>19</v>
      </c>
      <c r="AF58" s="5">
        <f t="shared" ca="1" si="26"/>
        <v>2.0502256032571915</v>
      </c>
      <c r="AG58" s="5">
        <v>2.5844009638640499</v>
      </c>
      <c r="AH58" s="6">
        <f t="shared" si="27"/>
        <v>25844009638.640499</v>
      </c>
    </row>
    <row r="59" spans="10:34">
      <c r="J59" s="5">
        <v>0.94105960264900701</v>
      </c>
      <c r="K59" s="7">
        <f>K57*J59/J57</f>
        <v>9672252.1000933498</v>
      </c>
      <c r="O59" s="5">
        <v>0.87248322147651003</v>
      </c>
      <c r="P59" s="7">
        <f>P56*O59/O56</f>
        <v>8479863.7955431193</v>
      </c>
      <c r="U59" s="5">
        <v>0.81481481481481499</v>
      </c>
      <c r="V59" s="7">
        <f>V56*U59/U56</f>
        <v>7947764.9618573897</v>
      </c>
      <c r="AE59" s="5">
        <v>20</v>
      </c>
      <c r="AF59" s="5">
        <f t="shared" ca="1" si="26"/>
        <v>2.9965640046942061</v>
      </c>
      <c r="AG59" s="5">
        <v>2.2556192827371899</v>
      </c>
      <c r="AH59" s="6">
        <f t="shared" si="27"/>
        <v>22556192827.371899</v>
      </c>
    </row>
    <row r="60" spans="10:34">
      <c r="J60" s="5">
        <v>0.86047904191616797</v>
      </c>
      <c r="K60" s="7">
        <f>K57*J60/J57</f>
        <v>8844041.5429926403</v>
      </c>
      <c r="O60" s="5">
        <v>0.95683453237410099</v>
      </c>
      <c r="P60" s="7">
        <f>P56*O60/O56</f>
        <v>9299693.4607790895</v>
      </c>
      <c r="U60" s="5">
        <v>0.80864197530864201</v>
      </c>
      <c r="V60" s="7">
        <f>V56*U60/U56</f>
        <v>7887554.62123725</v>
      </c>
      <c r="AE60" s="5">
        <v>21</v>
      </c>
      <c r="AF60" s="5">
        <f t="shared" ca="1" si="26"/>
        <v>2.3946409913436186</v>
      </c>
      <c r="AG60" s="5">
        <v>2.8571249095889102</v>
      </c>
      <c r="AH60" s="6">
        <f t="shared" si="27"/>
        <v>28571249095.889099</v>
      </c>
    </row>
    <row r="61" spans="10:34">
      <c r="J61" s="5">
        <v>0.98979591836734704</v>
      </c>
      <c r="K61" s="7">
        <f>K57*J61/J57</f>
        <v>10173166.1024909</v>
      </c>
      <c r="O61" s="5">
        <v>2.58250950570342</v>
      </c>
      <c r="P61" s="7">
        <v>25100000</v>
      </c>
      <c r="U61" s="5">
        <v>2.5950704225352101</v>
      </c>
      <c r="V61" s="7">
        <v>25312512</v>
      </c>
      <c r="AE61" s="5">
        <v>22</v>
      </c>
      <c r="AF61" s="5">
        <f t="shared" ca="1" si="26"/>
        <v>1.3351584744374985</v>
      </c>
      <c r="AG61" s="5">
        <v>2.24774641410955</v>
      </c>
      <c r="AH61" s="6">
        <f t="shared" si="27"/>
        <v>22477464141.095501</v>
      </c>
    </row>
    <row r="62" spans="10:34">
      <c r="J62" s="5">
        <v>2.3350746268656701</v>
      </c>
      <c r="K62" s="7">
        <v>24000000</v>
      </c>
      <c r="O62" s="5">
        <v>1.1885714285714299</v>
      </c>
      <c r="P62" s="7">
        <f>P61*O62/O61</f>
        <v>11551997.307757</v>
      </c>
      <c r="U62" s="5">
        <v>1.1191709844559601</v>
      </c>
      <c r="V62" s="7">
        <f>V61*U62/U61</f>
        <v>10916477.9221744</v>
      </c>
      <c r="AE62" s="5">
        <v>23</v>
      </c>
      <c r="AF62" s="5">
        <f t="shared" ca="1" si="26"/>
        <v>2.6398664007287529</v>
      </c>
      <c r="AG62" s="5">
        <v>2.8969604475159798</v>
      </c>
      <c r="AH62" s="6">
        <f t="shared" si="27"/>
        <v>28969604475.159801</v>
      </c>
    </row>
    <row r="63" spans="10:34">
      <c r="J63" s="5">
        <v>1.3702564102564101</v>
      </c>
      <c r="K63" s="7">
        <f>K62*J63/J62</f>
        <v>14083555.817784</v>
      </c>
      <c r="O63" s="5">
        <v>1.0349288486416599</v>
      </c>
      <c r="P63" s="7">
        <f>P61*O63/O61</f>
        <v>10058709.9654567</v>
      </c>
      <c r="U63" s="5">
        <v>0.82352941176470595</v>
      </c>
      <c r="V63" s="7">
        <f>V61*U63/U61</f>
        <v>8032767.79567404</v>
      </c>
      <c r="AE63" s="5">
        <v>24</v>
      </c>
      <c r="AF63" s="5">
        <f t="shared" ca="1" si="26"/>
        <v>1.7469028744455153</v>
      </c>
      <c r="AG63" s="5">
        <v>1.32978667020814</v>
      </c>
      <c r="AH63" s="6">
        <f t="shared" si="27"/>
        <v>13297866702.0814</v>
      </c>
    </row>
    <row r="64" spans="10:34">
      <c r="J64" s="5">
        <v>0.94105960264900701</v>
      </c>
      <c r="K64" s="7">
        <f>K62*J64/J62</f>
        <v>9672252.1000933498</v>
      </c>
      <c r="O64" s="5">
        <v>0.87248322147651003</v>
      </c>
      <c r="P64" s="7">
        <f>P61*O64/O61</f>
        <v>8479863.7955431193</v>
      </c>
      <c r="U64" s="5">
        <v>0.81481481481481499</v>
      </c>
      <c r="V64" s="7">
        <f>V61*U64/U61</f>
        <v>7947764.9618573897</v>
      </c>
      <c r="AE64" s="5">
        <v>25</v>
      </c>
      <c r="AF64" s="5">
        <f t="shared" ca="1" si="26"/>
        <v>2.5064909022277373</v>
      </c>
      <c r="AG64" s="5">
        <v>1.9947823117066401</v>
      </c>
      <c r="AH64" s="6">
        <f t="shared" si="27"/>
        <v>19947823117.066399</v>
      </c>
    </row>
    <row r="65" spans="10:34">
      <c r="J65" s="5">
        <v>0.86047904191616797</v>
      </c>
      <c r="K65" s="7">
        <f>K62*J65/J62</f>
        <v>8844041.5429926403</v>
      </c>
      <c r="O65" s="5">
        <v>0.95683453237410099</v>
      </c>
      <c r="P65" s="7">
        <f>P61*O65/O61</f>
        <v>9299693.4607790895</v>
      </c>
      <c r="U65" s="5">
        <v>0.80864197530864201</v>
      </c>
      <c r="V65" s="7">
        <f>V61*U65/U61</f>
        <v>7887554.62123725</v>
      </c>
      <c r="AE65" s="5">
        <v>26</v>
      </c>
      <c r="AF65" s="5">
        <f t="shared" ca="1" si="26"/>
        <v>2.4155497574384324</v>
      </c>
      <c r="AG65" s="5">
        <v>2.48506524341702</v>
      </c>
      <c r="AH65" s="6">
        <f t="shared" si="27"/>
        <v>24850652434.1702</v>
      </c>
    </row>
    <row r="66" spans="10:34">
      <c r="J66" s="5">
        <v>0.98979591836734704</v>
      </c>
      <c r="K66" s="7">
        <f>K62*J66/J62</f>
        <v>10173166.1024909</v>
      </c>
      <c r="AE66" s="5">
        <v>27</v>
      </c>
      <c r="AF66" s="5">
        <f t="shared" ca="1" si="26"/>
        <v>1.8893787550464385</v>
      </c>
      <c r="AG66" s="5">
        <v>1.3928022391589101</v>
      </c>
      <c r="AH66" s="6">
        <f t="shared" si="27"/>
        <v>13928022391.5891</v>
      </c>
    </row>
    <row r="67" spans="10:34">
      <c r="AE67" s="5">
        <v>28</v>
      </c>
      <c r="AF67" s="5">
        <f t="shared" ca="1" si="26"/>
        <v>1.8209104511864993</v>
      </c>
      <c r="AG67" s="5">
        <v>2.8658685025252302</v>
      </c>
      <c r="AH67" s="6">
        <f t="shared" si="27"/>
        <v>28658685025.2523</v>
      </c>
    </row>
    <row r="68" spans="10:34">
      <c r="AE68" s="5">
        <v>29</v>
      </c>
      <c r="AF68" s="5">
        <f t="shared" ca="1" si="26"/>
        <v>2.7165674995757234</v>
      </c>
      <c r="AG68" s="5">
        <v>2.4220393082550902</v>
      </c>
      <c r="AH68" s="6">
        <f t="shared" si="27"/>
        <v>24220393082.5509</v>
      </c>
    </row>
    <row r="69" spans="10:34">
      <c r="AE69" s="5">
        <v>30</v>
      </c>
      <c r="AF69" s="5">
        <f t="shared" ca="1" si="26"/>
        <v>1.3039661617942295</v>
      </c>
      <c r="AG69" s="5">
        <v>2.82599261520435</v>
      </c>
      <c r="AH69" s="6">
        <f t="shared" si="27"/>
        <v>28259926152.043499</v>
      </c>
    </row>
    <row r="70" spans="10:34">
      <c r="AE70" s="5">
        <v>31</v>
      </c>
      <c r="AF70" s="5">
        <f t="shared" ca="1" si="26"/>
        <v>2.5766183089993895</v>
      </c>
      <c r="AG70" s="5">
        <v>1.6203934337189401</v>
      </c>
      <c r="AH70" s="6">
        <f t="shared" si="27"/>
        <v>16203934337.1894</v>
      </c>
    </row>
    <row r="71" spans="10:34">
      <c r="AE71" s="5">
        <v>32</v>
      </c>
      <c r="AF71" s="5">
        <f t="shared" ca="1" si="26"/>
        <v>2.2904357061893084</v>
      </c>
      <c r="AG71" s="5">
        <v>2.6132675555196099</v>
      </c>
      <c r="AH71" s="6">
        <f t="shared" si="27"/>
        <v>26132675555.196098</v>
      </c>
    </row>
    <row r="72" spans="10:34">
      <c r="AE72" s="5">
        <v>33</v>
      </c>
      <c r="AF72" s="5">
        <f t="shared" ca="1" si="26"/>
        <v>2.9502760720163166</v>
      </c>
      <c r="AG72" s="5">
        <v>2.2910048687615201</v>
      </c>
      <c r="AH72" s="6">
        <f t="shared" si="27"/>
        <v>22910048687.6152</v>
      </c>
    </row>
    <row r="73" spans="10:34">
      <c r="AE73" s="5">
        <v>34</v>
      </c>
      <c r="AF73" s="5">
        <f t="shared" ca="1" si="26"/>
        <v>1.8384346775428577</v>
      </c>
      <c r="AG73" s="5">
        <v>2.9016853267666902</v>
      </c>
      <c r="AH73" s="6">
        <f t="shared" si="27"/>
        <v>29016853267.666901</v>
      </c>
    </row>
    <row r="74" spans="10:34">
      <c r="AE74" s="5">
        <v>35</v>
      </c>
      <c r="AF74" s="5">
        <f t="shared" ca="1" si="26"/>
        <v>2.8314662682696152</v>
      </c>
      <c r="AG74" s="5">
        <v>2.1778437099469201</v>
      </c>
      <c r="AH74" s="6">
        <f t="shared" si="27"/>
        <v>21778437099.4692</v>
      </c>
    </row>
    <row r="75" spans="10:34">
      <c r="AE75" s="5">
        <v>36</v>
      </c>
      <c r="AF75" s="5">
        <f t="shared" ca="1" si="26"/>
        <v>2.911142055096323</v>
      </c>
      <c r="AG75" s="5">
        <v>2.2697738789206499</v>
      </c>
      <c r="AH75" s="6">
        <f t="shared" si="27"/>
        <v>22697738789.206501</v>
      </c>
    </row>
    <row r="76" spans="10:34">
      <c r="AE76" s="5">
        <v>37</v>
      </c>
      <c r="AF76" s="5">
        <f t="shared" ca="1" si="26"/>
        <v>2.013329620187319</v>
      </c>
      <c r="AG76" s="5">
        <v>2.1876965043582799</v>
      </c>
      <c r="AH76" s="6">
        <f t="shared" si="27"/>
        <v>21876965043.582802</v>
      </c>
    </row>
    <row r="77" spans="10:34">
      <c r="AE77" s="5">
        <v>38</v>
      </c>
      <c r="AF77" s="5">
        <f t="shared" ca="1" si="26"/>
        <v>1.5584192360236098</v>
      </c>
      <c r="AG77" s="5">
        <v>2.7164507503004298</v>
      </c>
      <c r="AH77" s="6">
        <f t="shared" si="27"/>
        <v>27164507503.004299</v>
      </c>
    </row>
    <row r="78" spans="10:34">
      <c r="AE78" s="5">
        <v>39</v>
      </c>
      <c r="AF78" s="5">
        <f t="shared" ca="1" si="26"/>
        <v>1.5149537792878063</v>
      </c>
      <c r="AG78" s="5">
        <v>1.4247484198273599</v>
      </c>
      <c r="AH78" s="6">
        <f t="shared" si="27"/>
        <v>14247484198.2736</v>
      </c>
    </row>
    <row r="79" spans="10:34">
      <c r="AE79" s="5">
        <v>40</v>
      </c>
      <c r="AF79" s="5">
        <f t="shared" ca="1" si="26"/>
        <v>2.5010985856465604</v>
      </c>
      <c r="AG79" s="5">
        <v>2.5226325951598101</v>
      </c>
      <c r="AH79" s="6">
        <f t="shared" si="27"/>
        <v>25226325951.598099</v>
      </c>
    </row>
    <row r="80" spans="10:34">
      <c r="AE80" s="5">
        <v>41</v>
      </c>
      <c r="AF80" s="5">
        <f t="shared" ca="1" si="26"/>
        <v>1.4551152387380022</v>
      </c>
      <c r="AG80" s="5">
        <v>2.0284595503639098</v>
      </c>
      <c r="AH80" s="6">
        <f t="shared" si="27"/>
        <v>20284595503.639099</v>
      </c>
    </row>
    <row r="81" spans="31:34">
      <c r="AE81" s="5">
        <v>42</v>
      </c>
      <c r="AF81" s="5">
        <f t="shared" ca="1" si="26"/>
        <v>2.3589305532612119</v>
      </c>
      <c r="AG81" s="5">
        <v>2.9674215914232098</v>
      </c>
      <c r="AH81" s="6">
        <f t="shared" si="27"/>
        <v>29674215914.232101</v>
      </c>
    </row>
    <row r="82" spans="31:34">
      <c r="AE82" s="5">
        <v>43</v>
      </c>
      <c r="AF82" s="5">
        <f t="shared" ca="1" si="26"/>
        <v>2.3349664613367125</v>
      </c>
      <c r="AG82" s="5">
        <v>1.7824554699664701</v>
      </c>
      <c r="AH82" s="6">
        <f t="shared" si="27"/>
        <v>17824554699.6647</v>
      </c>
    </row>
    <row r="83" spans="31:34">
      <c r="AE83" s="5">
        <v>44</v>
      </c>
      <c r="AF83" s="5">
        <f t="shared" ca="1" si="26"/>
        <v>1.7365073153046868</v>
      </c>
      <c r="AG83" s="5">
        <v>1.8905726202928601</v>
      </c>
      <c r="AH83" s="6">
        <f t="shared" si="27"/>
        <v>18905726202.9286</v>
      </c>
    </row>
    <row r="84" spans="31:34">
      <c r="AE84" s="5">
        <v>45</v>
      </c>
      <c r="AF84" s="5">
        <f t="shared" ca="1" si="26"/>
        <v>2.0867519112762407</v>
      </c>
      <c r="AG84" s="5">
        <v>2.6530552383598698</v>
      </c>
      <c r="AH84" s="6">
        <f t="shared" si="27"/>
        <v>26530552383.598701</v>
      </c>
    </row>
    <row r="85" spans="31:34">
      <c r="AE85" s="5">
        <v>46</v>
      </c>
      <c r="AF85" s="5">
        <f t="shared" ca="1" si="26"/>
        <v>2.9783043131250775</v>
      </c>
      <c r="AG85" s="5">
        <v>1.8464659111888699</v>
      </c>
      <c r="AH85" s="6">
        <f t="shared" si="27"/>
        <v>18464659111.888699</v>
      </c>
    </row>
    <row r="86" spans="31:34">
      <c r="AE86" s="5">
        <v>47</v>
      </c>
      <c r="AF86" s="5">
        <f t="shared" ca="1" si="26"/>
        <v>1.322051224797298</v>
      </c>
      <c r="AG86" s="5">
        <v>1.94008619766965</v>
      </c>
      <c r="AH86" s="6">
        <f t="shared" si="27"/>
        <v>19400861976.696499</v>
      </c>
    </row>
    <row r="87" spans="31:34">
      <c r="AE87" s="5">
        <v>48</v>
      </c>
      <c r="AF87" s="5">
        <f t="shared" ca="1" si="26"/>
        <v>1.3609968326845474</v>
      </c>
      <c r="AG87" s="5">
        <v>2.7154499830565699</v>
      </c>
      <c r="AH87" s="6">
        <f t="shared" si="27"/>
        <v>27154499830.565701</v>
      </c>
    </row>
    <row r="88" spans="31:34">
      <c r="AE88" s="5">
        <v>49</v>
      </c>
      <c r="AF88" s="5">
        <f t="shared" ca="1" si="26"/>
        <v>2.1758706176672593</v>
      </c>
      <c r="AG88" s="5">
        <v>2.7818991984211801</v>
      </c>
      <c r="AH88" s="6">
        <f t="shared" si="27"/>
        <v>27818991984.2118</v>
      </c>
    </row>
  </sheetData>
  <phoneticPr fontId="9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I64"/>
  <sheetViews>
    <sheetView zoomScale="85" zoomScaleNormal="85" workbookViewId="0">
      <selection activeCell="M35" sqref="M35"/>
    </sheetView>
  </sheetViews>
  <sheetFormatPr defaultColWidth="8.85546875" defaultRowHeight="15"/>
  <cols>
    <col min="1" max="3" width="8.85546875" style="1"/>
    <col min="4" max="6" width="11.42578125" style="1"/>
    <col min="7" max="8" width="8.85546875" style="1"/>
    <col min="9" max="10" width="12.5703125" style="1"/>
    <col min="11" max="11" width="33.42578125" style="1" customWidth="1"/>
    <col min="12" max="14" width="12.5703125" style="1"/>
    <col min="15" max="16" width="8.85546875" style="1"/>
    <col min="17" max="22" width="12.5703125" style="1"/>
    <col min="23" max="23" width="8.85546875" style="1"/>
    <col min="24" max="29" width="12.5703125" style="1"/>
    <col min="30" max="30" width="8.85546875" style="1"/>
    <col min="31" max="31" width="43.140625" style="1" customWidth="1"/>
    <col min="32" max="33" width="12.5703125" style="1"/>
    <col min="34" max="34" width="26.7109375" style="1" customWidth="1"/>
    <col min="35" max="35" width="13.7109375" style="1"/>
    <col min="36" max="16384" width="8.85546875" style="1"/>
  </cols>
  <sheetData>
    <row r="1" spans="1:35">
      <c r="A1" s="1" t="s">
        <v>7</v>
      </c>
      <c r="B1" s="2" t="s">
        <v>8</v>
      </c>
      <c r="C1" s="2" t="s">
        <v>9</v>
      </c>
      <c r="D1" s="1">
        <v>144</v>
      </c>
      <c r="F1" s="1" t="s">
        <v>10</v>
      </c>
      <c r="I1" s="1" t="s">
        <v>11</v>
      </c>
      <c r="K1" s="1" t="s">
        <v>13</v>
      </c>
      <c r="M1" s="1" t="s">
        <v>14</v>
      </c>
      <c r="N1" s="1" t="s">
        <v>15</v>
      </c>
      <c r="Q1" s="1" t="s">
        <v>16</v>
      </c>
      <c r="S1" s="1" t="s">
        <v>17</v>
      </c>
      <c r="U1" s="1" t="s">
        <v>18</v>
      </c>
      <c r="V1" s="1" t="s">
        <v>15</v>
      </c>
      <c r="X1" s="1" t="s">
        <v>19</v>
      </c>
      <c r="Z1" s="1" t="s">
        <v>20</v>
      </c>
      <c r="AB1" s="1" t="s">
        <v>21</v>
      </c>
      <c r="AC1" s="1" t="s">
        <v>15</v>
      </c>
      <c r="AE1" s="1" t="s">
        <v>24</v>
      </c>
      <c r="AF1" s="1" t="s">
        <v>23</v>
      </c>
      <c r="AG1" s="1" t="s">
        <v>25</v>
      </c>
    </row>
    <row r="2" spans="1:35">
      <c r="A2" s="1">
        <v>1</v>
      </c>
      <c r="B2" s="2">
        <v>34.3767</v>
      </c>
      <c r="C2" s="2">
        <v>39.502299999999998</v>
      </c>
      <c r="D2" s="1">
        <f>B2*$D$1*0.01</f>
        <v>49.502448000000001</v>
      </c>
      <c r="E2" s="1">
        <f>C2*144*0.01</f>
        <v>56.883311999999997</v>
      </c>
      <c r="F2" s="1">
        <f>D2+E2</f>
        <v>106.38576</v>
      </c>
      <c r="I2" s="1">
        <f>F2*0.2</f>
        <v>21.277152000000001</v>
      </c>
      <c r="J2" s="1">
        <f>K2*I35</f>
        <v>22.357681995223899</v>
      </c>
      <c r="K2" s="1">
        <f>I2*0.45</f>
        <v>9.5747184000000001</v>
      </c>
      <c r="L2" s="1">
        <f>M2*I35</f>
        <v>27.3260557719403</v>
      </c>
      <c r="M2" s="1">
        <f>I2*0.55</f>
        <v>11.702433600000001</v>
      </c>
      <c r="N2" s="1">
        <f>I2*J35</f>
        <v>510651648</v>
      </c>
      <c r="Q2" s="1">
        <f>F2*0.27</f>
        <v>28.724155199999998</v>
      </c>
      <c r="R2" s="1">
        <f>S2*Q35</f>
        <v>34.122985769758202</v>
      </c>
      <c r="S2" s="1">
        <f>Q2*0.46</f>
        <v>13.213111392</v>
      </c>
      <c r="T2" s="1">
        <f>U2*Q35</f>
        <v>40.057418077542202</v>
      </c>
      <c r="U2" s="1">
        <f>Q2*0.54</f>
        <v>15.511043808</v>
      </c>
      <c r="V2" s="1">
        <f>Q2*R35</f>
        <v>720976295.51999998</v>
      </c>
      <c r="X2" s="1">
        <f>F2*0.53</f>
        <v>56.384452799999998</v>
      </c>
      <c r="Y2" s="1">
        <f>Z2*X35</f>
        <v>59.991866558366198</v>
      </c>
      <c r="Z2" s="1">
        <f>X2*0.41</f>
        <v>23.117625648000001</v>
      </c>
      <c r="AA2" s="1">
        <f>AB2*X35</f>
        <v>86.329759193746497</v>
      </c>
      <c r="AB2" s="1">
        <f>X2*0.59</f>
        <v>33.266827151999998</v>
      </c>
      <c r="AC2" s="1">
        <f>X2*Y35</f>
        <v>1427232138.11343</v>
      </c>
      <c r="AE2" s="1">
        <f>J2+L2+R2+T2+Y2+AA2</f>
        <v>270.18576736657701</v>
      </c>
      <c r="AF2" s="1">
        <f>F2*60</f>
        <v>6383.1455999999998</v>
      </c>
      <c r="AG2" s="1">
        <f>AC2+N2</f>
        <v>1937883786.11343</v>
      </c>
      <c r="AH2" s="1">
        <v>2483267851.9295998</v>
      </c>
      <c r="AI2" s="1">
        <f>AG2-AH2</f>
        <v>-545384065.81616604</v>
      </c>
    </row>
    <row r="3" spans="1:35">
      <c r="A3" s="1">
        <v>2</v>
      </c>
      <c r="B3" s="2">
        <v>11.83287</v>
      </c>
      <c r="C3" s="2">
        <v>27.209669999999999</v>
      </c>
      <c r="D3" s="1">
        <f t="shared" ref="D3:D31" si="0">B3*$D$1*0.01</f>
        <v>17.0393328</v>
      </c>
      <c r="E3" s="1">
        <f t="shared" ref="E3:E31" si="1">C3*144*0.01</f>
        <v>39.181924799999997</v>
      </c>
      <c r="F3" s="1">
        <f t="shared" ref="F3:F31" si="2">D3+E3</f>
        <v>56.221257600000001</v>
      </c>
      <c r="I3" s="1">
        <f t="shared" ref="I3:I31" si="3">F3*0.2</f>
        <v>11.244251520000001</v>
      </c>
      <c r="J3" s="1">
        <f t="shared" ref="J3:J31" si="4">K3*I36</f>
        <v>6.9333784757169203</v>
      </c>
      <c r="K3" s="1">
        <f t="shared" ref="K3:K31" si="5">I3*0.45</f>
        <v>5.059913184</v>
      </c>
      <c r="L3" s="1">
        <f t="shared" ref="L3:L31" si="6">M3*I36</f>
        <v>8.4741292480984605</v>
      </c>
      <c r="M3" s="1">
        <f t="shared" ref="M3:M31" si="7">I3*0.55</f>
        <v>6.1843383359999997</v>
      </c>
      <c r="N3" s="1">
        <f t="shared" ref="N3:N31" si="8">I3*J36</f>
        <v>158359043.91112301</v>
      </c>
      <c r="Q3" s="1">
        <f t="shared" ref="Q3:Q31" si="9">F3*0.27</f>
        <v>15.179739551999999</v>
      </c>
      <c r="R3" s="1">
        <f t="shared" ref="R3:R31" si="10">S3*Q36</f>
        <v>8.2994141733449194</v>
      </c>
      <c r="S3" s="1">
        <f t="shared" ref="S3:S31" si="11">Q3*0.46</f>
        <v>6.9826801939200003</v>
      </c>
      <c r="T3" s="1">
        <f t="shared" ref="T3:T31" si="12">U3*Q36</f>
        <v>9.7427905513179507</v>
      </c>
      <c r="U3" s="1">
        <f t="shared" ref="U3:U31" si="13">Q3*0.54</f>
        <v>8.1970593580800006</v>
      </c>
      <c r="V3" s="1">
        <f t="shared" ref="V3:V31" si="14">Q3*R36</f>
        <v>175356310.43715701</v>
      </c>
      <c r="X3" s="1">
        <f t="shared" ref="X3:X31" si="15">F3*0.53</f>
        <v>29.797266528000002</v>
      </c>
      <c r="Y3" s="1">
        <f t="shared" ref="Y3:Y31" si="16">Z3*X36</f>
        <v>13.6727768068377</v>
      </c>
      <c r="Z3" s="1">
        <f t="shared" ref="Z3:Z31" si="17">X3*0.41</f>
        <v>12.21687927648</v>
      </c>
      <c r="AA3" s="1">
        <f t="shared" ref="AA3:AA31" si="18">AB3*X36</f>
        <v>19.6754593074007</v>
      </c>
      <c r="AB3" s="1">
        <f t="shared" ref="AB3:AB31" si="19">X3*0.59</f>
        <v>17.580387251520001</v>
      </c>
      <c r="AC3" s="1">
        <f t="shared" ref="AC3:AC31" si="20">X3*Y36</f>
        <v>325281202.19405699</v>
      </c>
      <c r="AE3" s="1">
        <f t="shared" ref="AE3:AE31" si="21">J3+L3+R3+T3+Y3+AA3</f>
        <v>66.797948562716698</v>
      </c>
      <c r="AF3" s="1">
        <f>F3*26</f>
        <v>1461.7526975999999</v>
      </c>
      <c r="AG3" s="1">
        <f t="shared" ref="AG3:AG31" si="22">AC3+N3</f>
        <v>483640246.10518003</v>
      </c>
      <c r="AH3" s="1">
        <v>369452915.41537201</v>
      </c>
      <c r="AI3" s="1">
        <f t="shared" ref="AI3:AI31" si="23">AG3-AH3</f>
        <v>114187330.689808</v>
      </c>
    </row>
    <row r="4" spans="1:35">
      <c r="A4" s="1">
        <v>3</v>
      </c>
      <c r="B4" s="2">
        <v>13.97711</v>
      </c>
      <c r="C4" s="2">
        <v>19.572669999999999</v>
      </c>
      <c r="D4" s="1">
        <f t="shared" si="0"/>
        <v>20.1270384</v>
      </c>
      <c r="E4" s="1">
        <f t="shared" si="1"/>
        <v>28.184644800000001</v>
      </c>
      <c r="F4" s="1">
        <f t="shared" si="2"/>
        <v>48.311683199999997</v>
      </c>
      <c r="I4" s="1">
        <f t="shared" si="3"/>
        <v>9.6623366399999995</v>
      </c>
      <c r="J4" s="1">
        <f t="shared" si="4"/>
        <v>8.4398270935946709</v>
      </c>
      <c r="K4" s="1">
        <f t="shared" si="5"/>
        <v>4.3480514880000003</v>
      </c>
      <c r="L4" s="1">
        <f t="shared" si="6"/>
        <v>10.3153442255046</v>
      </c>
      <c r="M4" s="1">
        <f t="shared" si="7"/>
        <v>5.3142851520000001</v>
      </c>
      <c r="N4" s="1">
        <f t="shared" si="8"/>
        <v>192766477.98729101</v>
      </c>
      <c r="Q4" s="1">
        <f t="shared" si="9"/>
        <v>13.044154464</v>
      </c>
      <c r="R4" s="1">
        <f t="shared" si="10"/>
        <v>6.2098950100284798</v>
      </c>
      <c r="S4" s="1">
        <f t="shared" si="11"/>
        <v>6.0003110534399999</v>
      </c>
      <c r="T4" s="1">
        <f t="shared" si="12"/>
        <v>7.2898767509029998</v>
      </c>
      <c r="U4" s="1">
        <f t="shared" si="13"/>
        <v>7.0438434105600001</v>
      </c>
      <c r="V4" s="1">
        <f t="shared" si="14"/>
        <v>131207366.49799301</v>
      </c>
      <c r="X4" s="1">
        <f t="shared" si="15"/>
        <v>25.605192096</v>
      </c>
      <c r="Y4" s="1">
        <f t="shared" si="16"/>
        <v>13.8945821815058</v>
      </c>
      <c r="Z4" s="1">
        <f t="shared" si="17"/>
        <v>10.49812875936</v>
      </c>
      <c r="AA4" s="1">
        <f t="shared" si="18"/>
        <v>19.9946426514352</v>
      </c>
      <c r="AB4" s="1">
        <f t="shared" si="19"/>
        <v>15.10706333664</v>
      </c>
      <c r="AC4" s="1">
        <f t="shared" si="20"/>
        <v>330558046.82806402</v>
      </c>
      <c r="AE4" s="1">
        <f t="shared" si="21"/>
        <v>66.144167912971795</v>
      </c>
      <c r="AF4" s="1">
        <f t="shared" ref="AF4:AF31" si="24">F4*26</f>
        <v>1256.1037632</v>
      </c>
      <c r="AG4" s="1">
        <f t="shared" si="22"/>
        <v>523324524.815355</v>
      </c>
      <c r="AH4" s="1">
        <v>212900444.75311601</v>
      </c>
      <c r="AI4" s="1">
        <f t="shared" si="23"/>
        <v>310424080.06223899</v>
      </c>
    </row>
    <row r="5" spans="1:35">
      <c r="A5" s="1">
        <v>4</v>
      </c>
      <c r="B5" s="2">
        <v>26.548780000000001</v>
      </c>
      <c r="C5" s="2">
        <v>20.218879999999999</v>
      </c>
      <c r="D5" s="1">
        <f t="shared" si="0"/>
        <v>38.230243199999997</v>
      </c>
      <c r="E5" s="1">
        <f t="shared" si="1"/>
        <v>29.115187200000001</v>
      </c>
      <c r="F5" s="1">
        <f t="shared" si="2"/>
        <v>67.345430399999998</v>
      </c>
      <c r="I5" s="1">
        <f t="shared" si="3"/>
        <v>13.46908608</v>
      </c>
      <c r="J5" s="1">
        <f t="shared" si="4"/>
        <v>11.276528564522099</v>
      </c>
      <c r="K5" s="1">
        <f t="shared" si="5"/>
        <v>6.0610887360000003</v>
      </c>
      <c r="L5" s="1">
        <f t="shared" si="6"/>
        <v>13.782423801082601</v>
      </c>
      <c r="M5" s="1">
        <f t="shared" si="7"/>
        <v>7.407997344</v>
      </c>
      <c r="N5" s="1">
        <f t="shared" si="8"/>
        <v>257557017.60238001</v>
      </c>
      <c r="Q5" s="1">
        <f t="shared" si="9"/>
        <v>18.183266207999999</v>
      </c>
      <c r="R5" s="1">
        <f t="shared" si="10"/>
        <v>15.6620160076156</v>
      </c>
      <c r="S5" s="1">
        <f t="shared" si="11"/>
        <v>8.3643024556800007</v>
      </c>
      <c r="T5" s="1">
        <f t="shared" si="12"/>
        <v>18.3858448785052</v>
      </c>
      <c r="U5" s="1">
        <f t="shared" si="13"/>
        <v>9.8189637523200002</v>
      </c>
      <c r="V5" s="1">
        <f t="shared" si="14"/>
        <v>330918940.02878302</v>
      </c>
      <c r="X5" s="1">
        <f t="shared" si="15"/>
        <v>35.693078112000002</v>
      </c>
      <c r="Y5" s="1">
        <f t="shared" si="16"/>
        <v>17.777796831487901</v>
      </c>
      <c r="Z5" s="1">
        <f t="shared" si="17"/>
        <v>14.63416202592</v>
      </c>
      <c r="AA5" s="1">
        <f t="shared" si="18"/>
        <v>25.582683245311902</v>
      </c>
      <c r="AB5" s="1">
        <f t="shared" si="19"/>
        <v>21.05891608608</v>
      </c>
      <c r="AC5" s="1">
        <f t="shared" si="20"/>
        <v>422941382.53000098</v>
      </c>
      <c r="AE5" s="1">
        <f t="shared" si="21"/>
        <v>102.467293328525</v>
      </c>
      <c r="AF5" s="1">
        <f t="shared" si="24"/>
        <v>1750.9811904000001</v>
      </c>
      <c r="AG5" s="1">
        <f t="shared" si="22"/>
        <v>680498400.13238096</v>
      </c>
      <c r="AH5" s="1">
        <v>297327292.56206</v>
      </c>
      <c r="AI5" s="1">
        <f t="shared" si="23"/>
        <v>383171107.57032102</v>
      </c>
    </row>
    <row r="6" spans="1:35">
      <c r="A6" s="1">
        <v>5</v>
      </c>
      <c r="B6" s="2">
        <v>23.567409999999999</v>
      </c>
      <c r="C6" s="2">
        <v>21.525980000000001</v>
      </c>
      <c r="D6" s="1">
        <f t="shared" si="0"/>
        <v>33.937070400000003</v>
      </c>
      <c r="E6" s="1">
        <f t="shared" si="1"/>
        <v>30.997411199999998</v>
      </c>
      <c r="F6" s="1">
        <f t="shared" si="2"/>
        <v>64.934481599999998</v>
      </c>
      <c r="I6" s="1">
        <f t="shared" si="3"/>
        <v>12.98689632</v>
      </c>
      <c r="J6" s="1">
        <f t="shared" si="4"/>
        <v>11.6285729804081</v>
      </c>
      <c r="K6" s="1">
        <f t="shared" si="5"/>
        <v>5.8441033439999996</v>
      </c>
      <c r="L6" s="1">
        <f t="shared" si="6"/>
        <v>14.212700309387699</v>
      </c>
      <c r="M6" s="1">
        <f t="shared" si="7"/>
        <v>7.142792976</v>
      </c>
      <c r="N6" s="1">
        <f t="shared" si="8"/>
        <v>265597746.564345</v>
      </c>
      <c r="Q6" s="1">
        <f t="shared" si="9"/>
        <v>17.532310032000002</v>
      </c>
      <c r="R6" s="1">
        <f t="shared" si="10"/>
        <v>10.136197833033</v>
      </c>
      <c r="S6" s="1">
        <f t="shared" si="11"/>
        <v>8.0648626147200009</v>
      </c>
      <c r="T6" s="1">
        <f t="shared" si="12"/>
        <v>11.8990148474735</v>
      </c>
      <c r="U6" s="1">
        <f t="shared" si="13"/>
        <v>9.4674474172800007</v>
      </c>
      <c r="V6" s="1">
        <f t="shared" si="14"/>
        <v>214165267.17877999</v>
      </c>
      <c r="X6" s="1">
        <f t="shared" si="15"/>
        <v>34.415275248</v>
      </c>
      <c r="Y6" s="1">
        <f t="shared" si="16"/>
        <v>11.410150824506699</v>
      </c>
      <c r="Z6" s="1">
        <f t="shared" si="17"/>
        <v>14.11026285168</v>
      </c>
      <c r="AA6" s="1">
        <f t="shared" si="18"/>
        <v>16.419485332826699</v>
      </c>
      <c r="AB6" s="1">
        <f t="shared" si="19"/>
        <v>20.305012396319999</v>
      </c>
      <c r="AC6" s="1">
        <f t="shared" si="20"/>
        <v>271452363.32351398</v>
      </c>
      <c r="AE6" s="1">
        <f t="shared" si="21"/>
        <v>75.706122127635595</v>
      </c>
      <c r="AF6" s="1">
        <f t="shared" si="24"/>
        <v>1688.2965216</v>
      </c>
      <c r="AG6" s="1">
        <f t="shared" si="22"/>
        <v>537050109.88785899</v>
      </c>
      <c r="AH6" s="1">
        <v>228950167.58070299</v>
      </c>
      <c r="AI6" s="1">
        <f t="shared" si="23"/>
        <v>308099942.30715603</v>
      </c>
    </row>
    <row r="7" spans="1:35">
      <c r="A7" s="1">
        <v>6</v>
      </c>
      <c r="B7" s="2">
        <v>23.949259999999999</v>
      </c>
      <c r="C7" s="2">
        <v>30.837240000000001</v>
      </c>
      <c r="D7" s="1">
        <f t="shared" si="0"/>
        <v>34.486934400000003</v>
      </c>
      <c r="E7" s="1">
        <f t="shared" si="1"/>
        <v>44.4056256</v>
      </c>
      <c r="F7" s="1">
        <f t="shared" si="2"/>
        <v>78.892560000000003</v>
      </c>
      <c r="I7" s="1">
        <f t="shared" si="3"/>
        <v>15.778511999999999</v>
      </c>
      <c r="J7" s="1">
        <f t="shared" si="4"/>
        <v>16.579801359403</v>
      </c>
      <c r="K7" s="1">
        <f t="shared" si="5"/>
        <v>7.1003303999999998</v>
      </c>
      <c r="L7" s="1">
        <f t="shared" si="6"/>
        <v>20.2642016614925</v>
      </c>
      <c r="M7" s="1">
        <f t="shared" si="7"/>
        <v>8.6781816000000003</v>
      </c>
      <c r="N7" s="1">
        <f t="shared" si="8"/>
        <v>378684288</v>
      </c>
      <c r="Q7" s="1">
        <f t="shared" si="9"/>
        <v>21.300991199999999</v>
      </c>
      <c r="R7" s="1">
        <f t="shared" si="10"/>
        <v>25.304605637256302</v>
      </c>
      <c r="S7" s="1">
        <f t="shared" si="11"/>
        <v>9.7984559519999994</v>
      </c>
      <c r="T7" s="1">
        <f t="shared" si="12"/>
        <v>29.705406617648698</v>
      </c>
      <c r="U7" s="1">
        <f t="shared" si="13"/>
        <v>11.502535247999999</v>
      </c>
      <c r="V7" s="1">
        <f t="shared" si="14"/>
        <v>534654879.12</v>
      </c>
      <c r="X7" s="1">
        <f t="shared" si="15"/>
        <v>41.813056799999998</v>
      </c>
      <c r="Y7" s="1">
        <f t="shared" si="16"/>
        <v>44.488209060760497</v>
      </c>
      <c r="Z7" s="1">
        <f t="shared" si="17"/>
        <v>17.143353288</v>
      </c>
      <c r="AA7" s="1">
        <f t="shared" si="18"/>
        <v>64.019617916704206</v>
      </c>
      <c r="AB7" s="1">
        <f t="shared" si="19"/>
        <v>24.669703512000002</v>
      </c>
      <c r="AC7" s="1">
        <f t="shared" si="20"/>
        <v>1058393502.00668</v>
      </c>
      <c r="AE7" s="1">
        <f t="shared" si="21"/>
        <v>200.361842253265</v>
      </c>
      <c r="AF7" s="1">
        <f t="shared" si="24"/>
        <v>2051.2065600000001</v>
      </c>
      <c r="AG7" s="1">
        <f t="shared" si="22"/>
        <v>1437077790.00668</v>
      </c>
      <c r="AH7" s="1">
        <v>958900924.84251797</v>
      </c>
      <c r="AI7" s="1">
        <f t="shared" si="23"/>
        <v>478176865.16416401</v>
      </c>
    </row>
    <row r="8" spans="1:35">
      <c r="A8" s="1">
        <v>7</v>
      </c>
      <c r="B8" s="2">
        <v>27.855879999999999</v>
      </c>
      <c r="C8" s="2">
        <v>28.223040000000001</v>
      </c>
      <c r="D8" s="1">
        <f t="shared" si="0"/>
        <v>40.112467199999998</v>
      </c>
      <c r="E8" s="1">
        <f t="shared" si="1"/>
        <v>40.641177599999999</v>
      </c>
      <c r="F8" s="1">
        <f t="shared" si="2"/>
        <v>80.753644800000004</v>
      </c>
      <c r="I8" s="1">
        <f t="shared" si="3"/>
        <v>16.150728959999999</v>
      </c>
      <c r="J8" s="1">
        <f t="shared" si="4"/>
        <v>9.9587879494892295</v>
      </c>
      <c r="K8" s="1">
        <f t="shared" si="5"/>
        <v>7.2678280319999997</v>
      </c>
      <c r="L8" s="1">
        <f t="shared" si="6"/>
        <v>12.1718519382646</v>
      </c>
      <c r="M8" s="1">
        <f t="shared" si="7"/>
        <v>8.8829009279999998</v>
      </c>
      <c r="N8" s="1">
        <f t="shared" si="8"/>
        <v>227459692.806061</v>
      </c>
      <c r="Q8" s="1">
        <f t="shared" si="9"/>
        <v>21.803484095999998</v>
      </c>
      <c r="R8" s="1">
        <f t="shared" si="10"/>
        <v>11.9208991903159</v>
      </c>
      <c r="S8" s="1">
        <f t="shared" si="11"/>
        <v>10.02960268416</v>
      </c>
      <c r="T8" s="1">
        <f t="shared" si="12"/>
        <v>13.994099049501299</v>
      </c>
      <c r="U8" s="1">
        <f t="shared" si="13"/>
        <v>11.77388141184</v>
      </c>
      <c r="V8" s="1">
        <f t="shared" si="14"/>
        <v>251873789.57671601</v>
      </c>
      <c r="X8" s="1">
        <f t="shared" si="15"/>
        <v>42.799431744000003</v>
      </c>
      <c r="Y8" s="1">
        <f t="shared" si="16"/>
        <v>19.6389516852261</v>
      </c>
      <c r="Z8" s="1">
        <f t="shared" si="17"/>
        <v>17.547767015040002</v>
      </c>
      <c r="AA8" s="1">
        <f t="shared" si="18"/>
        <v>28.260930473862</v>
      </c>
      <c r="AB8" s="1">
        <f t="shared" si="19"/>
        <v>25.251664728960002</v>
      </c>
      <c r="AC8" s="1">
        <f t="shared" si="20"/>
        <v>467219051.714984</v>
      </c>
      <c r="AE8" s="1">
        <f t="shared" si="21"/>
        <v>95.945520286659203</v>
      </c>
      <c r="AF8" s="1">
        <f t="shared" si="24"/>
        <v>2099.5947648000001</v>
      </c>
      <c r="AG8" s="1">
        <f t="shared" si="22"/>
        <v>694678744.52104497</v>
      </c>
      <c r="AH8" s="1">
        <v>489489160.79045498</v>
      </c>
      <c r="AI8" s="1">
        <f t="shared" si="23"/>
        <v>205189583.73058999</v>
      </c>
    </row>
    <row r="9" spans="1:35">
      <c r="A9" s="1">
        <v>8</v>
      </c>
      <c r="B9" s="2">
        <v>25.153559999999999</v>
      </c>
      <c r="C9" s="2">
        <v>28.046800000000001</v>
      </c>
      <c r="D9" s="1">
        <f t="shared" si="0"/>
        <v>36.221126400000003</v>
      </c>
      <c r="E9" s="1">
        <f t="shared" si="1"/>
        <v>40.387391999999998</v>
      </c>
      <c r="F9" s="1">
        <f t="shared" si="2"/>
        <v>76.608518399999994</v>
      </c>
      <c r="I9" s="1">
        <f t="shared" si="3"/>
        <v>15.321703680000001</v>
      </c>
      <c r="J9" s="1">
        <f t="shared" si="4"/>
        <v>6.4883863696529804</v>
      </c>
      <c r="K9" s="1">
        <f t="shared" si="5"/>
        <v>6.8947666559999998</v>
      </c>
      <c r="L9" s="1">
        <f t="shared" si="6"/>
        <v>7.9302500073536502</v>
      </c>
      <c r="M9" s="1">
        <f t="shared" si="7"/>
        <v>8.4269370240000008</v>
      </c>
      <c r="N9" s="1">
        <f t="shared" si="8"/>
        <v>148195380.59588799</v>
      </c>
      <c r="Q9" s="1">
        <f t="shared" si="9"/>
        <v>20.684299968000001</v>
      </c>
      <c r="R9" s="1">
        <f t="shared" si="10"/>
        <v>9.8471182253868399</v>
      </c>
      <c r="S9" s="1">
        <f t="shared" si="11"/>
        <v>9.5147779852800003</v>
      </c>
      <c r="T9" s="1">
        <f t="shared" si="12"/>
        <v>11.559660525454101</v>
      </c>
      <c r="U9" s="1">
        <f t="shared" si="13"/>
        <v>11.169521982719999</v>
      </c>
      <c r="V9" s="1">
        <f t="shared" si="14"/>
        <v>208057374.21661699</v>
      </c>
      <c r="X9" s="1">
        <f t="shared" si="15"/>
        <v>40.602514751999998</v>
      </c>
      <c r="Y9" s="1">
        <f t="shared" si="16"/>
        <v>22.032835211011701</v>
      </c>
      <c r="Z9" s="1">
        <f t="shared" si="17"/>
        <v>16.647031048319999</v>
      </c>
      <c r="AA9" s="1">
        <f t="shared" si="18"/>
        <v>31.705787254870401</v>
      </c>
      <c r="AB9" s="1">
        <f t="shared" si="19"/>
        <v>23.955483703679999</v>
      </c>
      <c r="AC9" s="1">
        <f t="shared" si="20"/>
        <v>524170563.626643</v>
      </c>
      <c r="AE9" s="1">
        <f t="shared" si="21"/>
        <v>89.564037593729694</v>
      </c>
      <c r="AF9" s="1">
        <f t="shared" si="24"/>
        <v>1991.8214783999999</v>
      </c>
      <c r="AG9" s="1">
        <f t="shared" si="22"/>
        <v>672365944.22253001</v>
      </c>
      <c r="AH9" s="1">
        <v>205830691.50116801</v>
      </c>
      <c r="AI9" s="1">
        <f t="shared" si="23"/>
        <v>466535252.72136199</v>
      </c>
    </row>
    <row r="10" spans="1:35">
      <c r="A10" s="1">
        <v>9</v>
      </c>
      <c r="B10" s="2">
        <v>27.385909999999999</v>
      </c>
      <c r="C10" s="2">
        <v>30.367280000000001</v>
      </c>
      <c r="D10" s="1">
        <f t="shared" si="0"/>
        <v>39.435710399999998</v>
      </c>
      <c r="E10" s="1">
        <f t="shared" si="1"/>
        <v>43.728883199999999</v>
      </c>
      <c r="F10" s="1">
        <f t="shared" si="2"/>
        <v>83.164593600000003</v>
      </c>
      <c r="I10" s="1">
        <f t="shared" si="3"/>
        <v>16.632918719999999</v>
      </c>
      <c r="J10" s="1">
        <f t="shared" si="4"/>
        <v>6.4405250840047898</v>
      </c>
      <c r="K10" s="1">
        <f t="shared" si="5"/>
        <v>7.4848134240000004</v>
      </c>
      <c r="L10" s="1">
        <f t="shared" si="6"/>
        <v>7.8717528804503001</v>
      </c>
      <c r="M10" s="1">
        <f t="shared" si="7"/>
        <v>9.1481052960000007</v>
      </c>
      <c r="N10" s="1">
        <f t="shared" si="8"/>
        <v>147102224.14089999</v>
      </c>
      <c r="Q10" s="1">
        <f t="shared" si="9"/>
        <v>22.454440271999999</v>
      </c>
      <c r="R10" s="1">
        <f t="shared" si="10"/>
        <v>19.340958822204598</v>
      </c>
      <c r="S10" s="1">
        <f t="shared" si="11"/>
        <v>10.32904252512</v>
      </c>
      <c r="T10" s="1">
        <f t="shared" si="12"/>
        <v>22.704603834761901</v>
      </c>
      <c r="U10" s="1">
        <f t="shared" si="13"/>
        <v>12.125397746879999</v>
      </c>
      <c r="V10" s="1">
        <f t="shared" si="14"/>
        <v>408650431.04745698</v>
      </c>
      <c r="X10" s="1">
        <f t="shared" si="15"/>
        <v>44.077234607999998</v>
      </c>
      <c r="Y10" s="1">
        <f t="shared" si="16"/>
        <v>21.953727815125202</v>
      </c>
      <c r="Z10" s="1">
        <f t="shared" si="17"/>
        <v>18.071666189279998</v>
      </c>
      <c r="AA10" s="1">
        <f t="shared" si="18"/>
        <v>31.591949782741199</v>
      </c>
      <c r="AB10" s="1">
        <f t="shared" si="19"/>
        <v>26.005568418719999</v>
      </c>
      <c r="AC10" s="1">
        <f t="shared" si="20"/>
        <v>522288564.87833399</v>
      </c>
      <c r="AE10" s="1">
        <f t="shared" si="21"/>
        <v>109.903518219288</v>
      </c>
      <c r="AF10" s="1">
        <f t="shared" si="24"/>
        <v>2162.2794336000002</v>
      </c>
      <c r="AG10" s="1">
        <f t="shared" si="22"/>
        <v>669390789.01923394</v>
      </c>
      <c r="AH10" s="1">
        <v>179726937.18967399</v>
      </c>
      <c r="AI10" s="1">
        <f t="shared" si="23"/>
        <v>489663851.82955998</v>
      </c>
    </row>
    <row r="11" spans="1:35">
      <c r="A11" s="1">
        <v>10</v>
      </c>
      <c r="B11" s="2">
        <v>27.664950000000001</v>
      </c>
      <c r="C11" s="2">
        <v>29.809190000000001</v>
      </c>
      <c r="D11" s="1">
        <f t="shared" si="0"/>
        <v>39.837527999999999</v>
      </c>
      <c r="E11" s="1">
        <f t="shared" si="1"/>
        <v>42.925233599999999</v>
      </c>
      <c r="F11" s="1">
        <f t="shared" si="2"/>
        <v>82.762761600000005</v>
      </c>
      <c r="I11" s="1">
        <f t="shared" si="3"/>
        <v>16.55255232</v>
      </c>
      <c r="J11" s="1">
        <f t="shared" si="4"/>
        <v>7.3726419262040803</v>
      </c>
      <c r="K11" s="1">
        <f t="shared" si="5"/>
        <v>7.4486485440000001</v>
      </c>
      <c r="L11" s="1">
        <f t="shared" si="6"/>
        <v>9.0110067986938809</v>
      </c>
      <c r="M11" s="1">
        <f t="shared" si="7"/>
        <v>9.1039037759999992</v>
      </c>
      <c r="N11" s="1">
        <f t="shared" si="8"/>
        <v>168391864.17153001</v>
      </c>
      <c r="Q11" s="1">
        <f t="shared" si="9"/>
        <v>22.345945631999999</v>
      </c>
      <c r="R11" s="1">
        <f t="shared" si="10"/>
        <v>12.919171819271799</v>
      </c>
      <c r="S11" s="1">
        <f t="shared" si="11"/>
        <v>10.279134990719999</v>
      </c>
      <c r="T11" s="1">
        <f t="shared" si="12"/>
        <v>15.165984309580001</v>
      </c>
      <c r="U11" s="1">
        <f t="shared" si="13"/>
        <v>12.06681064128</v>
      </c>
      <c r="V11" s="1">
        <f t="shared" si="14"/>
        <v>272966049.99026698</v>
      </c>
      <c r="X11" s="1">
        <f t="shared" si="15"/>
        <v>43.864263647999998</v>
      </c>
      <c r="Y11" s="1">
        <f t="shared" si="16"/>
        <v>14.5428987687289</v>
      </c>
      <c r="Z11" s="1">
        <f t="shared" si="17"/>
        <v>17.984348095680001</v>
      </c>
      <c r="AA11" s="1">
        <f t="shared" si="18"/>
        <v>20.9275860330489</v>
      </c>
      <c r="AB11" s="1">
        <f t="shared" si="19"/>
        <v>25.87991555232</v>
      </c>
      <c r="AC11" s="1">
        <f t="shared" si="20"/>
        <v>345981775.44395202</v>
      </c>
      <c r="AE11" s="1">
        <f t="shared" si="21"/>
        <v>79.939289655527503</v>
      </c>
      <c r="AF11" s="1">
        <f t="shared" si="24"/>
        <v>2151.8318015999998</v>
      </c>
      <c r="AG11" s="1">
        <f t="shared" si="22"/>
        <v>514373639.61548197</v>
      </c>
      <c r="AH11" s="1">
        <v>244674477.032278</v>
      </c>
      <c r="AI11" s="1">
        <f t="shared" si="23"/>
        <v>269699162.58320397</v>
      </c>
    </row>
    <row r="12" spans="1:35">
      <c r="A12" s="1">
        <v>11</v>
      </c>
      <c r="B12" s="2">
        <v>30.646319999999999</v>
      </c>
      <c r="C12" s="2">
        <v>29.353899999999999</v>
      </c>
      <c r="D12" s="1">
        <f t="shared" si="0"/>
        <v>44.1307008</v>
      </c>
      <c r="E12" s="1">
        <f t="shared" si="1"/>
        <v>42.269615999999999</v>
      </c>
      <c r="F12" s="1">
        <f t="shared" si="2"/>
        <v>86.400316799999999</v>
      </c>
      <c r="I12" s="1">
        <f t="shared" si="3"/>
        <v>17.28006336</v>
      </c>
      <c r="J12" s="1">
        <f t="shared" si="4"/>
        <v>18.157606876155199</v>
      </c>
      <c r="K12" s="1">
        <f t="shared" si="5"/>
        <v>7.7760285119999999</v>
      </c>
      <c r="L12" s="1">
        <f t="shared" si="6"/>
        <v>22.192630626411901</v>
      </c>
      <c r="M12" s="1">
        <f t="shared" si="7"/>
        <v>9.5040348479999999</v>
      </c>
      <c r="N12" s="1">
        <f t="shared" si="8"/>
        <v>414721520.63999999</v>
      </c>
      <c r="Q12" s="1">
        <f t="shared" si="9"/>
        <v>23.328085536</v>
      </c>
      <c r="R12" s="1">
        <f t="shared" si="10"/>
        <v>27.712701217427899</v>
      </c>
      <c r="S12" s="1">
        <f t="shared" si="11"/>
        <v>10.73091934656</v>
      </c>
      <c r="T12" s="1">
        <f t="shared" si="12"/>
        <v>32.532301429154501</v>
      </c>
      <c r="U12" s="1">
        <f t="shared" si="13"/>
        <v>12.597166189439999</v>
      </c>
      <c r="V12" s="1">
        <f t="shared" si="14"/>
        <v>585534946.95360005</v>
      </c>
      <c r="X12" s="1">
        <f t="shared" si="15"/>
        <v>45.792167904000003</v>
      </c>
      <c r="Y12" s="1">
        <f t="shared" si="16"/>
        <v>48.721899209688999</v>
      </c>
      <c r="Z12" s="1">
        <f t="shared" si="17"/>
        <v>18.774788840639999</v>
      </c>
      <c r="AA12" s="1">
        <f t="shared" si="18"/>
        <v>70.112001301747597</v>
      </c>
      <c r="AB12" s="1">
        <f t="shared" si="19"/>
        <v>27.01737906336</v>
      </c>
      <c r="AC12" s="1">
        <f t="shared" si="20"/>
        <v>1159114799.57601</v>
      </c>
      <c r="AE12" s="1">
        <f t="shared" si="21"/>
        <v>219.429140660586</v>
      </c>
      <c r="AF12" s="1">
        <f t="shared" si="24"/>
        <v>2246.4082367999999</v>
      </c>
      <c r="AG12" s="1">
        <f t="shared" si="22"/>
        <v>1573836320.2160101</v>
      </c>
      <c r="AH12" s="1">
        <v>741381416.66304004</v>
      </c>
      <c r="AI12" s="1">
        <f t="shared" si="23"/>
        <v>832454903.55297506</v>
      </c>
    </row>
    <row r="13" spans="1:35">
      <c r="A13" s="1">
        <v>12</v>
      </c>
      <c r="B13" s="2">
        <v>23.67022</v>
      </c>
      <c r="C13" s="2">
        <v>31.028169999999999</v>
      </c>
      <c r="D13" s="1">
        <f t="shared" si="0"/>
        <v>34.085116800000002</v>
      </c>
      <c r="E13" s="1">
        <f t="shared" si="1"/>
        <v>44.680564799999999</v>
      </c>
      <c r="F13" s="1">
        <f t="shared" si="2"/>
        <v>78.765681599999994</v>
      </c>
      <c r="I13" s="1">
        <f t="shared" si="3"/>
        <v>15.753136319999999</v>
      </c>
      <c r="J13" s="1">
        <f t="shared" si="4"/>
        <v>9.7136262108553897</v>
      </c>
      <c r="K13" s="1">
        <f t="shared" si="5"/>
        <v>7.0889113439999996</v>
      </c>
      <c r="L13" s="1">
        <f t="shared" si="6"/>
        <v>11.8722098132677</v>
      </c>
      <c r="M13" s="1">
        <f t="shared" si="7"/>
        <v>8.6642249759999999</v>
      </c>
      <c r="N13" s="1">
        <f t="shared" si="8"/>
        <v>221860174.66788101</v>
      </c>
      <c r="Q13" s="1">
        <f t="shared" si="9"/>
        <v>21.266734031999999</v>
      </c>
      <c r="R13" s="1">
        <f t="shared" si="10"/>
        <v>11.627434926752899</v>
      </c>
      <c r="S13" s="1">
        <f t="shared" si="11"/>
        <v>9.7826976547199997</v>
      </c>
      <c r="T13" s="1">
        <f t="shared" si="12"/>
        <v>13.64959752271</v>
      </c>
      <c r="U13" s="1">
        <f t="shared" si="13"/>
        <v>11.484036377280001</v>
      </c>
      <c r="V13" s="1">
        <f t="shared" si="14"/>
        <v>245673254.28244901</v>
      </c>
      <c r="X13" s="1">
        <f t="shared" si="15"/>
        <v>41.745811248000003</v>
      </c>
      <c r="Y13" s="1">
        <f t="shared" si="16"/>
        <v>19.155487275248099</v>
      </c>
      <c r="Z13" s="1">
        <f t="shared" si="17"/>
        <v>17.11578261168</v>
      </c>
      <c r="AA13" s="1">
        <f t="shared" si="18"/>
        <v>27.565213396088701</v>
      </c>
      <c r="AB13" s="1">
        <f t="shared" si="19"/>
        <v>24.630028636319999</v>
      </c>
      <c r="AC13" s="1">
        <f t="shared" si="20"/>
        <v>455717226.83205003</v>
      </c>
      <c r="AE13" s="1">
        <f t="shared" si="21"/>
        <v>93.583569144922805</v>
      </c>
      <c r="AF13" s="1">
        <f t="shared" si="24"/>
        <v>2047.9077216000001</v>
      </c>
      <c r="AG13" s="1">
        <f t="shared" si="22"/>
        <v>677577401.49993098</v>
      </c>
      <c r="AH13" s="1">
        <v>325408680.72744697</v>
      </c>
      <c r="AI13" s="1">
        <f t="shared" si="23"/>
        <v>352168720.772484</v>
      </c>
    </row>
    <row r="14" spans="1:35">
      <c r="A14" s="1">
        <v>13</v>
      </c>
      <c r="B14" s="2">
        <v>24.683589999999999</v>
      </c>
      <c r="C14" s="2">
        <v>31.116289999999999</v>
      </c>
      <c r="D14" s="1">
        <f t="shared" si="0"/>
        <v>35.544369600000003</v>
      </c>
      <c r="E14" s="1">
        <f t="shared" si="1"/>
        <v>44.807457599999999</v>
      </c>
      <c r="F14" s="1">
        <f t="shared" si="2"/>
        <v>80.351827200000002</v>
      </c>
      <c r="I14" s="1">
        <f t="shared" si="3"/>
        <v>16.07036544</v>
      </c>
      <c r="J14" s="1">
        <f t="shared" si="4"/>
        <v>6.8054272719258302</v>
      </c>
      <c r="K14" s="1">
        <f t="shared" si="5"/>
        <v>7.2316644480000001</v>
      </c>
      <c r="L14" s="1">
        <f t="shared" si="6"/>
        <v>8.3177444434649104</v>
      </c>
      <c r="M14" s="1">
        <f t="shared" si="7"/>
        <v>8.8387009919999997</v>
      </c>
      <c r="N14" s="1">
        <f t="shared" si="8"/>
        <v>155436625.87630799</v>
      </c>
      <c r="Q14" s="1">
        <f t="shared" si="9"/>
        <v>21.694993344</v>
      </c>
      <c r="R14" s="1">
        <f t="shared" si="10"/>
        <v>10.328276262085399</v>
      </c>
      <c r="S14" s="1">
        <f t="shared" si="11"/>
        <v>9.97969693824</v>
      </c>
      <c r="T14" s="1">
        <f t="shared" si="12"/>
        <v>12.124498220709</v>
      </c>
      <c r="U14" s="1">
        <f t="shared" si="13"/>
        <v>11.71529640576</v>
      </c>
      <c r="V14" s="1">
        <f t="shared" si="14"/>
        <v>218223645.74981001</v>
      </c>
      <c r="X14" s="1">
        <f t="shared" si="15"/>
        <v>42.586468416000002</v>
      </c>
      <c r="Y14" s="1">
        <f t="shared" si="16"/>
        <v>23.109421831623401</v>
      </c>
      <c r="Z14" s="1">
        <f t="shared" si="17"/>
        <v>17.460452050560001</v>
      </c>
      <c r="AA14" s="1">
        <f t="shared" si="18"/>
        <v>33.255021660140997</v>
      </c>
      <c r="AB14" s="1">
        <f t="shared" si="19"/>
        <v>25.126016365440002</v>
      </c>
      <c r="AC14" s="1">
        <f t="shared" si="20"/>
        <v>549783019.32353497</v>
      </c>
      <c r="AE14" s="1">
        <f t="shared" si="21"/>
        <v>93.940389689949598</v>
      </c>
      <c r="AF14" s="1">
        <f t="shared" si="24"/>
        <v>2089.1475071999998</v>
      </c>
      <c r="AG14" s="1">
        <f t="shared" si="22"/>
        <v>705219645.19984305</v>
      </c>
      <c r="AH14" s="1">
        <v>289537796.26959002</v>
      </c>
      <c r="AI14" s="1">
        <f t="shared" si="23"/>
        <v>415681848.93025303</v>
      </c>
    </row>
    <row r="15" spans="1:35">
      <c r="A15" s="1">
        <v>14</v>
      </c>
      <c r="B15" s="2">
        <v>23.949259999999999</v>
      </c>
      <c r="C15" s="2">
        <v>29.530139999999999</v>
      </c>
      <c r="D15" s="1">
        <f t="shared" si="0"/>
        <v>34.486934400000003</v>
      </c>
      <c r="E15" s="1">
        <f t="shared" si="1"/>
        <v>42.5234016</v>
      </c>
      <c r="F15" s="1">
        <f t="shared" si="2"/>
        <v>77.010335999999995</v>
      </c>
      <c r="I15" s="1">
        <f t="shared" si="3"/>
        <v>15.402067199999999</v>
      </c>
      <c r="J15" s="1">
        <f t="shared" si="4"/>
        <v>12.894850452502901</v>
      </c>
      <c r="K15" s="1">
        <f t="shared" si="5"/>
        <v>6.9309302400000004</v>
      </c>
      <c r="L15" s="1">
        <f t="shared" si="6"/>
        <v>15.7603727752814</v>
      </c>
      <c r="M15" s="1">
        <f t="shared" si="7"/>
        <v>8.4711369600000008</v>
      </c>
      <c r="N15" s="1">
        <f t="shared" si="8"/>
        <v>294519648.13216501</v>
      </c>
      <c r="Q15" s="1">
        <f t="shared" si="9"/>
        <v>20.792790719999999</v>
      </c>
      <c r="R15" s="1">
        <f t="shared" si="10"/>
        <v>17.909709805401299</v>
      </c>
      <c r="S15" s="1">
        <f t="shared" si="11"/>
        <v>9.5646837312000006</v>
      </c>
      <c r="T15" s="1">
        <f t="shared" si="12"/>
        <v>21.0244419454711</v>
      </c>
      <c r="U15" s="1">
        <f t="shared" si="13"/>
        <v>11.2281069888</v>
      </c>
      <c r="V15" s="1">
        <f t="shared" si="14"/>
        <v>378409917.48091102</v>
      </c>
      <c r="X15" s="1">
        <f t="shared" si="15"/>
        <v>40.815478079999998</v>
      </c>
      <c r="Y15" s="1">
        <f t="shared" si="16"/>
        <v>20.329131452586601</v>
      </c>
      <c r="Z15" s="1">
        <f t="shared" si="17"/>
        <v>16.7343460128</v>
      </c>
      <c r="AA15" s="1">
        <f t="shared" si="18"/>
        <v>29.254115992746499</v>
      </c>
      <c r="AB15" s="1">
        <f t="shared" si="19"/>
        <v>24.081132067199999</v>
      </c>
      <c r="AC15" s="1">
        <f t="shared" si="20"/>
        <v>483638723.273197</v>
      </c>
      <c r="AE15" s="1">
        <f t="shared" si="21"/>
        <v>117.17262242399001</v>
      </c>
      <c r="AF15" s="1">
        <f t="shared" si="24"/>
        <v>2002.268736</v>
      </c>
      <c r="AG15" s="1">
        <f t="shared" si="22"/>
        <v>778158371.40536201</v>
      </c>
      <c r="AH15" s="1">
        <v>253410778.47282201</v>
      </c>
      <c r="AI15" s="1">
        <f t="shared" si="23"/>
        <v>524747592.93254</v>
      </c>
    </row>
    <row r="16" spans="1:35">
      <c r="A16" s="1">
        <v>15</v>
      </c>
      <c r="B16" s="2">
        <v>13.97711</v>
      </c>
      <c r="C16" s="2">
        <v>30.925360000000001</v>
      </c>
      <c r="D16" s="1">
        <f t="shared" si="0"/>
        <v>20.1270384</v>
      </c>
      <c r="E16" s="1">
        <f t="shared" si="1"/>
        <v>44.532518400000001</v>
      </c>
      <c r="F16" s="1">
        <f t="shared" si="2"/>
        <v>64.659556800000004</v>
      </c>
      <c r="I16" s="1">
        <f t="shared" si="3"/>
        <v>12.931911360000001</v>
      </c>
      <c r="J16" s="1">
        <f t="shared" si="4"/>
        <v>5.7599788863673496</v>
      </c>
      <c r="K16" s="1">
        <f t="shared" si="5"/>
        <v>5.819360112</v>
      </c>
      <c r="L16" s="1">
        <f t="shared" si="6"/>
        <v>7.0399741944489804</v>
      </c>
      <c r="M16" s="1">
        <f t="shared" si="7"/>
        <v>7.1125512479999999</v>
      </c>
      <c r="N16" s="1">
        <f t="shared" si="8"/>
        <v>131558482.28796899</v>
      </c>
      <c r="Q16" s="1">
        <f t="shared" si="9"/>
        <v>17.458080335999998</v>
      </c>
      <c r="R16" s="1">
        <f t="shared" si="10"/>
        <v>10.093282388213201</v>
      </c>
      <c r="S16" s="1">
        <f t="shared" si="11"/>
        <v>8.0307169545600008</v>
      </c>
      <c r="T16" s="1">
        <f t="shared" si="12"/>
        <v>11.848635847032901</v>
      </c>
      <c r="U16" s="1">
        <f t="shared" si="13"/>
        <v>9.4273633814399993</v>
      </c>
      <c r="V16" s="1">
        <f t="shared" si="14"/>
        <v>213258517.147129</v>
      </c>
      <c r="X16" s="1">
        <f t="shared" si="15"/>
        <v>34.269565104000002</v>
      </c>
      <c r="Y16" s="1">
        <f t="shared" si="16"/>
        <v>11.361841615653301</v>
      </c>
      <c r="Z16" s="1">
        <f t="shared" si="17"/>
        <v>14.05052169264</v>
      </c>
      <c r="AA16" s="1">
        <f t="shared" si="18"/>
        <v>16.3499672030133</v>
      </c>
      <c r="AB16" s="1">
        <f t="shared" si="19"/>
        <v>20.219043411360001</v>
      </c>
      <c r="AC16" s="1">
        <f t="shared" si="20"/>
        <v>270303066.60384601</v>
      </c>
      <c r="AE16" s="1">
        <f t="shared" si="21"/>
        <v>62.453680134728998</v>
      </c>
      <c r="AF16" s="1">
        <f t="shared" si="24"/>
        <v>1681.1484768</v>
      </c>
      <c r="AG16" s="1">
        <f t="shared" si="22"/>
        <v>401861548.89181501</v>
      </c>
      <c r="AH16" s="1">
        <v>292225748.80843902</v>
      </c>
      <c r="AI16" s="1">
        <f t="shared" si="23"/>
        <v>109635800.08337601</v>
      </c>
    </row>
    <row r="17" spans="1:35">
      <c r="A17" s="1">
        <v>16</v>
      </c>
      <c r="B17" s="2">
        <v>25.902570000000001</v>
      </c>
      <c r="C17" s="2">
        <v>32.232460000000003</v>
      </c>
      <c r="D17" s="1">
        <f t="shared" si="0"/>
        <v>37.299700799999997</v>
      </c>
      <c r="E17" s="1">
        <f t="shared" si="1"/>
        <v>46.414742400000002</v>
      </c>
      <c r="F17" s="1">
        <f t="shared" si="2"/>
        <v>83.714443200000005</v>
      </c>
      <c r="I17" s="1">
        <f t="shared" si="3"/>
        <v>16.74288864</v>
      </c>
      <c r="J17" s="1">
        <f t="shared" si="4"/>
        <v>17.593152499665699</v>
      </c>
      <c r="K17" s="1">
        <f t="shared" si="5"/>
        <v>7.5342998879999996</v>
      </c>
      <c r="L17" s="1">
        <f t="shared" si="6"/>
        <v>21.502741944035801</v>
      </c>
      <c r="M17" s="1">
        <f t="shared" si="7"/>
        <v>9.2085887520000007</v>
      </c>
      <c r="N17" s="1">
        <f t="shared" si="8"/>
        <v>401829327.36000001</v>
      </c>
      <c r="Q17" s="1">
        <f t="shared" si="9"/>
        <v>22.602899663999999</v>
      </c>
      <c r="R17" s="1">
        <f t="shared" si="10"/>
        <v>26.851213489820701</v>
      </c>
      <c r="S17" s="1">
        <f t="shared" si="11"/>
        <v>10.39733384544</v>
      </c>
      <c r="T17" s="1">
        <f t="shared" si="12"/>
        <v>31.520989748919899</v>
      </c>
      <c r="U17" s="1">
        <f t="shared" si="13"/>
        <v>12.20556581856</v>
      </c>
      <c r="V17" s="1">
        <f t="shared" si="14"/>
        <v>567332781.56640005</v>
      </c>
      <c r="X17" s="1">
        <f t="shared" si="15"/>
        <v>44.368654896000002</v>
      </c>
      <c r="Y17" s="1">
        <f t="shared" si="16"/>
        <v>47.207311443395497</v>
      </c>
      <c r="Z17" s="1">
        <f t="shared" si="17"/>
        <v>18.191148507360001</v>
      </c>
      <c r="AA17" s="1">
        <f t="shared" si="18"/>
        <v>67.932472564886197</v>
      </c>
      <c r="AB17" s="1">
        <f t="shared" si="19"/>
        <v>26.177506388640001</v>
      </c>
      <c r="AC17" s="1">
        <f t="shared" si="20"/>
        <v>1123082109.4788599</v>
      </c>
      <c r="AE17" s="1">
        <f t="shared" si="21"/>
        <v>212.60788169072401</v>
      </c>
      <c r="AF17" s="1">
        <f t="shared" si="24"/>
        <v>2176.5755232000001</v>
      </c>
      <c r="AG17" s="1">
        <f t="shared" si="22"/>
        <v>1524911436.83886</v>
      </c>
      <c r="AH17" s="1">
        <v>594881929.47318196</v>
      </c>
      <c r="AI17" s="1">
        <f t="shared" si="23"/>
        <v>930029507.365677</v>
      </c>
    </row>
    <row r="18" spans="1:35">
      <c r="A18" s="1">
        <v>17</v>
      </c>
      <c r="B18" s="2">
        <v>23.112130000000001</v>
      </c>
      <c r="C18" s="2">
        <v>29.809190000000001</v>
      </c>
      <c r="D18" s="1">
        <f t="shared" si="0"/>
        <v>33.281467200000002</v>
      </c>
      <c r="E18" s="1">
        <f t="shared" si="1"/>
        <v>42.925233599999999</v>
      </c>
      <c r="F18" s="1">
        <f t="shared" si="2"/>
        <v>76.206700799999993</v>
      </c>
      <c r="I18" s="1">
        <f t="shared" si="3"/>
        <v>15.24134016</v>
      </c>
      <c r="J18" s="1">
        <f t="shared" si="4"/>
        <v>9.3980448248123096</v>
      </c>
      <c r="K18" s="1">
        <f t="shared" si="5"/>
        <v>6.8586030720000002</v>
      </c>
      <c r="L18" s="1">
        <f t="shared" si="6"/>
        <v>11.486499230326199</v>
      </c>
      <c r="M18" s="1">
        <f t="shared" si="7"/>
        <v>8.3827370880000007</v>
      </c>
      <c r="N18" s="1">
        <f t="shared" si="8"/>
        <v>214652264.88119301</v>
      </c>
      <c r="Q18" s="1">
        <f t="shared" si="9"/>
        <v>20.575809216</v>
      </c>
      <c r="R18" s="1">
        <f t="shared" si="10"/>
        <v>11.249676718782201</v>
      </c>
      <c r="S18" s="1">
        <f t="shared" si="11"/>
        <v>9.46487223936</v>
      </c>
      <c r="T18" s="1">
        <f t="shared" si="12"/>
        <v>13.2061422350921</v>
      </c>
      <c r="U18" s="1">
        <f t="shared" si="13"/>
        <v>11.11093697664</v>
      </c>
      <c r="V18" s="1">
        <f t="shared" si="14"/>
        <v>237691692.66815501</v>
      </c>
      <c r="X18" s="1">
        <f t="shared" si="15"/>
        <v>40.389551423999997</v>
      </c>
      <c r="Y18" s="1">
        <f t="shared" si="16"/>
        <v>18.5331537518624</v>
      </c>
      <c r="Z18" s="1">
        <f t="shared" si="17"/>
        <v>16.559716083840001</v>
      </c>
      <c r="AA18" s="1">
        <f t="shared" si="18"/>
        <v>26.6696602770703</v>
      </c>
      <c r="AB18" s="1">
        <f t="shared" si="19"/>
        <v>23.829835340159999</v>
      </c>
      <c r="AC18" s="1">
        <f t="shared" si="20"/>
        <v>440911646.40662199</v>
      </c>
      <c r="AE18" s="1">
        <f t="shared" si="21"/>
        <v>90.543177037945497</v>
      </c>
      <c r="AF18" s="1">
        <f t="shared" si="24"/>
        <v>1981.3742208000001</v>
      </c>
      <c r="AG18" s="1">
        <f t="shared" si="22"/>
        <v>655563911.28781497</v>
      </c>
      <c r="AH18" s="1">
        <v>276692862.76255703</v>
      </c>
      <c r="AI18" s="1">
        <f t="shared" si="23"/>
        <v>378871048.525258</v>
      </c>
    </row>
    <row r="19" spans="1:35">
      <c r="A19" s="1">
        <v>18</v>
      </c>
      <c r="B19" s="2">
        <v>23.67022</v>
      </c>
      <c r="C19" s="2">
        <v>27.576830000000001</v>
      </c>
      <c r="D19" s="1">
        <f t="shared" si="0"/>
        <v>34.085116800000002</v>
      </c>
      <c r="E19" s="1">
        <f t="shared" si="1"/>
        <v>39.710635199999999</v>
      </c>
      <c r="F19" s="1">
        <f t="shared" si="2"/>
        <v>73.795751999999993</v>
      </c>
      <c r="I19" s="1">
        <f t="shared" si="3"/>
        <v>14.759150399999999</v>
      </c>
      <c r="J19" s="1">
        <f t="shared" si="4"/>
        <v>6.2501580948874196</v>
      </c>
      <c r="K19" s="1">
        <f t="shared" si="5"/>
        <v>6.6416176800000004</v>
      </c>
      <c r="L19" s="1">
        <f t="shared" si="6"/>
        <v>7.6390821159735101</v>
      </c>
      <c r="M19" s="1">
        <f t="shared" si="7"/>
        <v>8.1175327199999998</v>
      </c>
      <c r="N19" s="1">
        <f t="shared" si="8"/>
        <v>142754223.451994</v>
      </c>
      <c r="Q19" s="1">
        <f t="shared" si="9"/>
        <v>19.924853039999999</v>
      </c>
      <c r="R19" s="1">
        <f t="shared" si="10"/>
        <v>9.4855703993790801</v>
      </c>
      <c r="S19" s="1">
        <f t="shared" si="11"/>
        <v>9.1654323984000001</v>
      </c>
      <c r="T19" s="1">
        <f t="shared" si="12"/>
        <v>11.1352348166624</v>
      </c>
      <c r="U19" s="1">
        <f t="shared" si="13"/>
        <v>10.7594206416</v>
      </c>
      <c r="V19" s="1">
        <f t="shared" si="14"/>
        <v>200418317.83370799</v>
      </c>
      <c r="X19" s="1">
        <f t="shared" si="15"/>
        <v>39.111748560000002</v>
      </c>
      <c r="Y19" s="1">
        <f t="shared" si="16"/>
        <v>21.223875321529299</v>
      </c>
      <c r="Z19" s="1">
        <f t="shared" si="17"/>
        <v>16.035816909600001</v>
      </c>
      <c r="AA19" s="1">
        <f t="shared" si="18"/>
        <v>30.541674243176299</v>
      </c>
      <c r="AB19" s="1">
        <f t="shared" si="19"/>
        <v>23.075931650400001</v>
      </c>
      <c r="AC19" s="1">
        <f t="shared" si="20"/>
        <v>504925062.21203601</v>
      </c>
      <c r="AE19" s="1">
        <f t="shared" si="21"/>
        <v>86.275594991608102</v>
      </c>
      <c r="AF19" s="1">
        <f t="shared" si="24"/>
        <v>1918.689552</v>
      </c>
      <c r="AG19" s="1">
        <f t="shared" si="22"/>
        <v>647679285.66402996</v>
      </c>
      <c r="AH19" s="1">
        <v>196481187.82199499</v>
      </c>
      <c r="AI19" s="1">
        <f t="shared" si="23"/>
        <v>451198097.842035</v>
      </c>
    </row>
    <row r="20" spans="1:35">
      <c r="A20" s="1">
        <v>19</v>
      </c>
      <c r="B20" s="2">
        <v>27.106870000000001</v>
      </c>
      <c r="C20" s="2">
        <v>26.269729999999999</v>
      </c>
      <c r="D20" s="1">
        <f t="shared" si="0"/>
        <v>39.033892799999997</v>
      </c>
      <c r="E20" s="1">
        <f t="shared" si="1"/>
        <v>37.828411199999998</v>
      </c>
      <c r="F20" s="1">
        <f t="shared" si="2"/>
        <v>76.862303999999995</v>
      </c>
      <c r="I20" s="1">
        <f t="shared" si="3"/>
        <v>15.372460800000001</v>
      </c>
      <c r="J20" s="1">
        <f t="shared" si="4"/>
        <v>5.9524561534850298</v>
      </c>
      <c r="K20" s="1">
        <f t="shared" si="5"/>
        <v>6.9176073599999999</v>
      </c>
      <c r="L20" s="1">
        <f t="shared" si="6"/>
        <v>7.2752241875928201</v>
      </c>
      <c r="M20" s="1">
        <f t="shared" si="7"/>
        <v>8.4548534400000008</v>
      </c>
      <c r="N20" s="1">
        <f t="shared" si="8"/>
        <v>135954681.93322599</v>
      </c>
      <c r="Q20" s="1">
        <f t="shared" si="9"/>
        <v>20.752822080000001</v>
      </c>
      <c r="R20" s="1">
        <f t="shared" si="10"/>
        <v>17.875283125820101</v>
      </c>
      <c r="S20" s="1">
        <f t="shared" si="11"/>
        <v>9.5462981568000007</v>
      </c>
      <c r="T20" s="1">
        <f t="shared" si="12"/>
        <v>20.9840280172671</v>
      </c>
      <c r="U20" s="1">
        <f t="shared" si="13"/>
        <v>11.206523923200001</v>
      </c>
      <c r="V20" s="1">
        <f t="shared" si="14"/>
        <v>377682524.51245898</v>
      </c>
      <c r="X20" s="1">
        <f t="shared" si="15"/>
        <v>40.737021120000001</v>
      </c>
      <c r="Y20" s="1">
        <f t="shared" si="16"/>
        <v>20.290054074879901</v>
      </c>
      <c r="Z20" s="1">
        <f t="shared" si="17"/>
        <v>16.702178659200001</v>
      </c>
      <c r="AA20" s="1">
        <f t="shared" si="18"/>
        <v>29.197882693119901</v>
      </c>
      <c r="AB20" s="1">
        <f t="shared" si="19"/>
        <v>24.0348424608</v>
      </c>
      <c r="AC20" s="1">
        <f t="shared" si="20"/>
        <v>482709055.76098698</v>
      </c>
      <c r="AE20" s="1">
        <f t="shared" si="21"/>
        <v>101.57492825216499</v>
      </c>
      <c r="AF20" s="1">
        <f t="shared" si="24"/>
        <v>1998.4199040000001</v>
      </c>
      <c r="AG20" s="1">
        <f t="shared" si="22"/>
        <v>618663737.69421303</v>
      </c>
      <c r="AH20" s="1">
        <v>168972516.61560401</v>
      </c>
      <c r="AI20" s="1">
        <f t="shared" si="23"/>
        <v>449691221.07860899</v>
      </c>
    </row>
    <row r="21" spans="1:35">
      <c r="A21" s="1">
        <v>20</v>
      </c>
      <c r="B21" s="2">
        <v>27.297789999999999</v>
      </c>
      <c r="C21" s="2">
        <v>27.664950000000001</v>
      </c>
      <c r="D21" s="1">
        <f t="shared" si="0"/>
        <v>39.308817599999998</v>
      </c>
      <c r="E21" s="1">
        <f t="shared" si="1"/>
        <v>39.837527999999999</v>
      </c>
      <c r="F21" s="1">
        <f t="shared" si="2"/>
        <v>79.146345600000004</v>
      </c>
      <c r="I21" s="1">
        <f t="shared" si="3"/>
        <v>15.829269119999999</v>
      </c>
      <c r="J21" s="1">
        <f t="shared" si="4"/>
        <v>14.1736567885714</v>
      </c>
      <c r="K21" s="1">
        <f t="shared" si="5"/>
        <v>7.1231711039999999</v>
      </c>
      <c r="L21" s="1">
        <f t="shared" si="6"/>
        <v>17.3233582971428</v>
      </c>
      <c r="M21" s="1">
        <f t="shared" si="7"/>
        <v>8.7060980160000003</v>
      </c>
      <c r="N21" s="1">
        <f t="shared" si="8"/>
        <v>323727710.18107003</v>
      </c>
      <c r="Q21" s="1">
        <f t="shared" si="9"/>
        <v>21.369513311999999</v>
      </c>
      <c r="R21" s="1">
        <f t="shared" si="10"/>
        <v>12.354653444452801</v>
      </c>
      <c r="S21" s="1">
        <f t="shared" si="11"/>
        <v>9.8299761235199998</v>
      </c>
      <c r="T21" s="1">
        <f t="shared" si="12"/>
        <v>14.503288826096799</v>
      </c>
      <c r="U21" s="1">
        <f t="shared" si="13"/>
        <v>11.539537188480001</v>
      </c>
      <c r="V21" s="1">
        <f t="shared" si="14"/>
        <v>261038478.07800299</v>
      </c>
      <c r="X21" s="1">
        <f t="shared" si="15"/>
        <v>41.947563168000002</v>
      </c>
      <c r="Y21" s="1">
        <f t="shared" si="16"/>
        <v>13.9074297392178</v>
      </c>
      <c r="Z21" s="1">
        <f t="shared" si="17"/>
        <v>17.198500898879999</v>
      </c>
      <c r="AA21" s="1">
        <f t="shared" si="18"/>
        <v>20.013130600337799</v>
      </c>
      <c r="AB21" s="1">
        <f t="shared" si="19"/>
        <v>24.74906226912</v>
      </c>
      <c r="AC21" s="1">
        <f t="shared" si="20"/>
        <v>330863695.71539998</v>
      </c>
      <c r="AE21" s="1">
        <f t="shared" si="21"/>
        <v>92.275517695819403</v>
      </c>
      <c r="AF21" s="1">
        <f t="shared" si="24"/>
        <v>2057.8049855999998</v>
      </c>
      <c r="AG21" s="1">
        <f t="shared" si="22"/>
        <v>654591405.89646995</v>
      </c>
      <c r="AH21" s="1">
        <v>182296943.10876501</v>
      </c>
      <c r="AI21" s="1">
        <f t="shared" si="23"/>
        <v>472294462.787705</v>
      </c>
    </row>
    <row r="22" spans="1:35">
      <c r="A22" s="1">
        <v>21</v>
      </c>
      <c r="B22" s="2">
        <v>23.567409999999999</v>
      </c>
      <c r="C22" s="2">
        <v>27.209669999999999</v>
      </c>
      <c r="D22" s="1">
        <f t="shared" si="0"/>
        <v>33.937070400000003</v>
      </c>
      <c r="E22" s="1">
        <f t="shared" si="1"/>
        <v>39.181924799999997</v>
      </c>
      <c r="F22" s="1">
        <f t="shared" si="2"/>
        <v>73.118995200000001</v>
      </c>
      <c r="I22" s="1">
        <f t="shared" si="3"/>
        <v>14.62379904</v>
      </c>
      <c r="J22" s="1">
        <f t="shared" si="4"/>
        <v>15.3664479390089</v>
      </c>
      <c r="K22" s="1">
        <f t="shared" si="5"/>
        <v>6.5807095679999996</v>
      </c>
      <c r="L22" s="1">
        <f t="shared" si="6"/>
        <v>18.781214147677598</v>
      </c>
      <c r="M22" s="1">
        <f t="shared" si="7"/>
        <v>8.0430894720000001</v>
      </c>
      <c r="N22" s="1">
        <f t="shared" si="8"/>
        <v>350971176.95999998</v>
      </c>
      <c r="Q22" s="1">
        <f t="shared" si="9"/>
        <v>19.742128703999999</v>
      </c>
      <c r="R22" s="1">
        <f t="shared" si="10"/>
        <v>23.452748118814199</v>
      </c>
      <c r="S22" s="1">
        <f t="shared" si="11"/>
        <v>9.0813792038399992</v>
      </c>
      <c r="T22" s="1">
        <f t="shared" si="12"/>
        <v>27.531486922086199</v>
      </c>
      <c r="U22" s="1">
        <f t="shared" si="13"/>
        <v>10.66074950016</v>
      </c>
      <c r="V22" s="1">
        <f t="shared" si="14"/>
        <v>495527430.47039998</v>
      </c>
      <c r="X22" s="1">
        <f t="shared" si="15"/>
        <v>38.753067455999997</v>
      </c>
      <c r="Y22" s="1">
        <f t="shared" si="16"/>
        <v>41.232445046406703</v>
      </c>
      <c r="Z22" s="1">
        <f t="shared" si="17"/>
        <v>15.888757656959999</v>
      </c>
      <c r="AA22" s="1">
        <f t="shared" si="18"/>
        <v>59.334494091170697</v>
      </c>
      <c r="AB22" s="1">
        <f t="shared" si="19"/>
        <v>22.864309799040001</v>
      </c>
      <c r="AC22" s="1">
        <f t="shared" si="20"/>
        <v>980937485.01681006</v>
      </c>
      <c r="AE22" s="1">
        <f t="shared" si="21"/>
        <v>185.698836265164</v>
      </c>
      <c r="AF22" s="1">
        <f t="shared" si="24"/>
        <v>1901.0938752</v>
      </c>
      <c r="AG22" s="1">
        <f t="shared" si="22"/>
        <v>1331908661.97681</v>
      </c>
      <c r="AH22" s="1">
        <v>1144047617.5801201</v>
      </c>
      <c r="AI22" s="1">
        <f t="shared" si="23"/>
        <v>187861044.396689</v>
      </c>
    </row>
    <row r="23" spans="1:35">
      <c r="A23" s="1">
        <v>22</v>
      </c>
      <c r="B23" s="2">
        <v>25.153559999999999</v>
      </c>
      <c r="C23" s="2">
        <v>32.232460000000003</v>
      </c>
      <c r="D23" s="1">
        <f t="shared" si="0"/>
        <v>36.221126400000003</v>
      </c>
      <c r="E23" s="1">
        <f t="shared" si="1"/>
        <v>46.414742400000002</v>
      </c>
      <c r="F23" s="1">
        <f t="shared" si="2"/>
        <v>82.635868799999997</v>
      </c>
      <c r="I23" s="1">
        <f t="shared" si="3"/>
        <v>16.52717376</v>
      </c>
      <c r="J23" s="1">
        <f t="shared" si="4"/>
        <v>10.1909096046277</v>
      </c>
      <c r="K23" s="1">
        <f t="shared" si="5"/>
        <v>7.4372281920000001</v>
      </c>
      <c r="L23" s="1">
        <f t="shared" si="6"/>
        <v>12.455556183433799</v>
      </c>
      <c r="M23" s="1">
        <f t="shared" si="7"/>
        <v>9.0899455679999992</v>
      </c>
      <c r="N23" s="1">
        <f t="shared" si="8"/>
        <v>232761374.15917501</v>
      </c>
      <c r="Q23" s="1">
        <f t="shared" si="9"/>
        <v>22.311684576000001</v>
      </c>
      <c r="R23" s="1">
        <f t="shared" si="10"/>
        <v>12.1987541727525</v>
      </c>
      <c r="S23" s="1">
        <f t="shared" si="11"/>
        <v>10.263374904959999</v>
      </c>
      <c r="T23" s="1">
        <f t="shared" si="12"/>
        <v>14.320276637578999</v>
      </c>
      <c r="U23" s="1">
        <f t="shared" si="13"/>
        <v>12.04830967104</v>
      </c>
      <c r="V23" s="1">
        <f t="shared" si="14"/>
        <v>257744520.153476</v>
      </c>
      <c r="X23" s="1">
        <f t="shared" si="15"/>
        <v>43.797010464000003</v>
      </c>
      <c r="Y23" s="1">
        <f t="shared" si="16"/>
        <v>20.096700760061399</v>
      </c>
      <c r="Z23" s="1">
        <f t="shared" si="17"/>
        <v>17.956774290239998</v>
      </c>
      <c r="AA23" s="1">
        <f t="shared" si="18"/>
        <v>28.919642557161499</v>
      </c>
      <c r="AB23" s="1">
        <f t="shared" si="19"/>
        <v>25.840236173760001</v>
      </c>
      <c r="AC23" s="1">
        <f t="shared" si="20"/>
        <v>478109097.78749502</v>
      </c>
      <c r="AE23" s="1">
        <f t="shared" si="21"/>
        <v>98.181839915615896</v>
      </c>
      <c r="AF23" s="1">
        <f t="shared" si="24"/>
        <v>2148.5325888000002</v>
      </c>
      <c r="AG23" s="1">
        <f t="shared" si="22"/>
        <v>710870471.94667101</v>
      </c>
      <c r="AH23" s="1">
        <v>430457274.36722398</v>
      </c>
      <c r="AI23" s="1">
        <f t="shared" si="23"/>
        <v>280413197.57944697</v>
      </c>
    </row>
    <row r="24" spans="1:35">
      <c r="A24" s="1">
        <v>23</v>
      </c>
      <c r="B24" s="2">
        <v>30.646319999999999</v>
      </c>
      <c r="C24" s="2">
        <v>32.981479999999998</v>
      </c>
      <c r="D24" s="1">
        <f t="shared" si="0"/>
        <v>44.1307008</v>
      </c>
      <c r="E24" s="1">
        <f t="shared" si="1"/>
        <v>47.4933312</v>
      </c>
      <c r="F24" s="1">
        <f t="shared" si="2"/>
        <v>91.624032</v>
      </c>
      <c r="I24" s="1">
        <f t="shared" si="3"/>
        <v>18.3248064</v>
      </c>
      <c r="J24" s="1">
        <f t="shared" si="4"/>
        <v>7.76013076323179</v>
      </c>
      <c r="K24" s="1">
        <f t="shared" si="5"/>
        <v>8.24616288</v>
      </c>
      <c r="L24" s="1">
        <f t="shared" si="6"/>
        <v>9.4846042661721892</v>
      </c>
      <c r="M24" s="1">
        <f t="shared" si="7"/>
        <v>10.07864352</v>
      </c>
      <c r="N24" s="1">
        <f t="shared" si="8"/>
        <v>177242147.18620399</v>
      </c>
      <c r="Q24" s="1">
        <f t="shared" si="9"/>
        <v>24.73848864</v>
      </c>
      <c r="R24" s="1">
        <f t="shared" si="10"/>
        <v>11.777184760051799</v>
      </c>
      <c r="S24" s="1">
        <f t="shared" si="11"/>
        <v>11.3797047744</v>
      </c>
      <c r="T24" s="1">
        <f t="shared" si="12"/>
        <v>13.8253908052782</v>
      </c>
      <c r="U24" s="1">
        <f t="shared" si="13"/>
        <v>13.3587838656</v>
      </c>
      <c r="V24" s="1">
        <f t="shared" si="14"/>
        <v>248837282.21350601</v>
      </c>
      <c r="X24" s="1">
        <f t="shared" si="15"/>
        <v>48.56073696</v>
      </c>
      <c r="Y24" s="1">
        <f t="shared" si="16"/>
        <v>26.351341085646901</v>
      </c>
      <c r="Z24" s="1">
        <f t="shared" si="17"/>
        <v>19.909902153600001</v>
      </c>
      <c r="AA24" s="1">
        <f t="shared" si="18"/>
        <v>37.920222537882204</v>
      </c>
      <c r="AB24" s="1">
        <f t="shared" si="19"/>
        <v>28.650834806399999</v>
      </c>
      <c r="AC24" s="1">
        <f t="shared" si="20"/>
        <v>626909663.54970706</v>
      </c>
      <c r="AE24" s="1">
        <f t="shared" si="21"/>
        <v>107.118874218263</v>
      </c>
      <c r="AF24" s="1">
        <f t="shared" si="24"/>
        <v>2382.2248319999999</v>
      </c>
      <c r="AG24" s="1">
        <f t="shared" si="22"/>
        <v>804151810.73591101</v>
      </c>
      <c r="AH24" s="1">
        <v>259738137.26423001</v>
      </c>
      <c r="AI24" s="1">
        <f t="shared" si="23"/>
        <v>544413673.471681</v>
      </c>
    </row>
    <row r="25" spans="1:35">
      <c r="A25" s="1">
        <v>24</v>
      </c>
      <c r="B25" s="2">
        <v>23.949259999999999</v>
      </c>
      <c r="C25" s="2">
        <v>35.125709999999998</v>
      </c>
      <c r="D25" s="1">
        <f t="shared" si="0"/>
        <v>34.486934400000003</v>
      </c>
      <c r="E25" s="1">
        <f t="shared" si="1"/>
        <v>50.581022400000002</v>
      </c>
      <c r="F25" s="1">
        <f t="shared" si="2"/>
        <v>85.067956800000005</v>
      </c>
      <c r="I25" s="1">
        <f t="shared" si="3"/>
        <v>17.013591359999999</v>
      </c>
      <c r="J25" s="1">
        <f t="shared" si="4"/>
        <v>6.5879274568527002</v>
      </c>
      <c r="K25" s="1">
        <f t="shared" si="5"/>
        <v>7.6561161120000003</v>
      </c>
      <c r="L25" s="1">
        <f t="shared" si="6"/>
        <v>8.0519113361532995</v>
      </c>
      <c r="M25" s="1">
        <f t="shared" si="7"/>
        <v>9.3574752480000001</v>
      </c>
      <c r="N25" s="1">
        <f t="shared" si="8"/>
        <v>150468908.78334099</v>
      </c>
      <c r="Q25" s="1">
        <f t="shared" si="9"/>
        <v>22.968348335999998</v>
      </c>
      <c r="R25" s="1">
        <f t="shared" si="10"/>
        <v>19.783609566726401</v>
      </c>
      <c r="S25" s="1">
        <f t="shared" si="11"/>
        <v>10.56544023456</v>
      </c>
      <c r="T25" s="1">
        <f t="shared" si="12"/>
        <v>23.224237317461501</v>
      </c>
      <c r="U25" s="1">
        <f t="shared" si="13"/>
        <v>12.40290810144</v>
      </c>
      <c r="V25" s="1">
        <f t="shared" si="14"/>
        <v>418003091.33773601</v>
      </c>
      <c r="X25" s="1">
        <f t="shared" si="15"/>
        <v>45.086017104</v>
      </c>
      <c r="Y25" s="1">
        <f t="shared" si="16"/>
        <v>22.456176222762601</v>
      </c>
      <c r="Z25" s="1">
        <f t="shared" si="17"/>
        <v>18.485267012640001</v>
      </c>
      <c r="AA25" s="1">
        <f t="shared" si="18"/>
        <v>32.314985296170498</v>
      </c>
      <c r="AB25" s="1">
        <f t="shared" si="19"/>
        <v>26.600750091359998</v>
      </c>
      <c r="AC25" s="1">
        <f t="shared" si="20"/>
        <v>534242027.17686403</v>
      </c>
      <c r="AE25" s="1">
        <f t="shared" si="21"/>
        <v>112.418847196127</v>
      </c>
      <c r="AF25" s="1">
        <f t="shared" si="24"/>
        <v>2211.7668767999999</v>
      </c>
      <c r="AG25" s="1">
        <f t="shared" si="22"/>
        <v>684710935.96020496</v>
      </c>
      <c r="AH25" s="1">
        <v>317781640.97204202</v>
      </c>
      <c r="AI25" s="1">
        <f t="shared" si="23"/>
        <v>366929294.98816299</v>
      </c>
    </row>
    <row r="26" spans="1:35">
      <c r="A26" s="1">
        <v>25</v>
      </c>
      <c r="B26" s="2">
        <v>31.846319999999999</v>
      </c>
      <c r="C26" s="2">
        <v>34.567619999999998</v>
      </c>
      <c r="D26" s="1">
        <f t="shared" si="0"/>
        <v>45.858700800000001</v>
      </c>
      <c r="E26" s="1">
        <f t="shared" si="1"/>
        <v>49.777372800000002</v>
      </c>
      <c r="F26" s="1">
        <f t="shared" si="2"/>
        <v>95.636073600000003</v>
      </c>
      <c r="I26" s="1">
        <f t="shared" si="3"/>
        <v>19.127214720000001</v>
      </c>
      <c r="J26" s="1">
        <f t="shared" si="4"/>
        <v>17.1266642008163</v>
      </c>
      <c r="K26" s="1">
        <f t="shared" si="5"/>
        <v>8.6072466240000001</v>
      </c>
      <c r="L26" s="1">
        <f t="shared" si="6"/>
        <v>20.932589578775399</v>
      </c>
      <c r="M26" s="1">
        <f t="shared" si="7"/>
        <v>10.519968095999999</v>
      </c>
      <c r="N26" s="1">
        <f t="shared" si="8"/>
        <v>391174688.89474899</v>
      </c>
      <c r="Q26" s="1">
        <f t="shared" si="9"/>
        <v>25.821739871999998</v>
      </c>
      <c r="R26" s="1">
        <f t="shared" si="10"/>
        <v>14.928681004271001</v>
      </c>
      <c r="S26" s="1">
        <f t="shared" si="11"/>
        <v>11.87800034112</v>
      </c>
      <c r="T26" s="1">
        <f t="shared" si="12"/>
        <v>17.524973352839801</v>
      </c>
      <c r="U26" s="1">
        <f t="shared" si="13"/>
        <v>13.94373953088</v>
      </c>
      <c r="V26" s="1">
        <f t="shared" si="14"/>
        <v>315424482.49057102</v>
      </c>
      <c r="X26" s="1">
        <f t="shared" si="15"/>
        <v>50.687119008000003</v>
      </c>
      <c r="Y26" s="1">
        <f t="shared" si="16"/>
        <v>16.8049701353067</v>
      </c>
      <c r="Z26" s="1">
        <f t="shared" si="17"/>
        <v>20.78171879328</v>
      </c>
      <c r="AA26" s="1">
        <f t="shared" si="18"/>
        <v>24.182761902026702</v>
      </c>
      <c r="AB26" s="1">
        <f t="shared" si="19"/>
        <v>29.90540021472</v>
      </c>
      <c r="AC26" s="1">
        <f t="shared" si="20"/>
        <v>399797419.76875299</v>
      </c>
      <c r="AE26" s="1">
        <f t="shared" si="21"/>
        <v>111.50064017403599</v>
      </c>
      <c r="AF26" s="1">
        <f t="shared" si="24"/>
        <v>2486.5379136000001</v>
      </c>
      <c r="AG26" s="1">
        <f t="shared" si="22"/>
        <v>790972108.66350198</v>
      </c>
      <c r="AH26" s="1">
        <v>191922648.12345099</v>
      </c>
      <c r="AI26" s="1">
        <f t="shared" si="23"/>
        <v>599049460.54005098</v>
      </c>
    </row>
    <row r="27" spans="1:35">
      <c r="A27" s="1">
        <v>26</v>
      </c>
      <c r="B27" s="2">
        <v>25.67022</v>
      </c>
      <c r="C27" s="2">
        <v>29.809190000000001</v>
      </c>
      <c r="D27" s="1">
        <f t="shared" si="0"/>
        <v>36.965116799999997</v>
      </c>
      <c r="E27" s="1">
        <f t="shared" si="1"/>
        <v>42.925233599999999</v>
      </c>
      <c r="F27" s="1">
        <f t="shared" si="2"/>
        <v>79.890350400000003</v>
      </c>
      <c r="I27" s="1">
        <f t="shared" si="3"/>
        <v>15.97807008</v>
      </c>
      <c r="J27" s="1">
        <f t="shared" si="4"/>
        <v>16.789493713540299</v>
      </c>
      <c r="K27" s="1">
        <f t="shared" si="5"/>
        <v>7.190131536</v>
      </c>
      <c r="L27" s="1">
        <f t="shared" si="6"/>
        <v>20.520492316549198</v>
      </c>
      <c r="M27" s="1">
        <f t="shared" si="7"/>
        <v>8.7879385439999993</v>
      </c>
      <c r="N27" s="1">
        <f t="shared" si="8"/>
        <v>383473681.92000002</v>
      </c>
      <c r="Q27" s="1">
        <f t="shared" si="9"/>
        <v>21.570394608000001</v>
      </c>
      <c r="R27" s="1">
        <f t="shared" si="10"/>
        <v>25.624644593789601</v>
      </c>
      <c r="S27" s="1">
        <f t="shared" si="11"/>
        <v>9.92238151968</v>
      </c>
      <c r="T27" s="1">
        <f t="shared" si="12"/>
        <v>30.081104523144301</v>
      </c>
      <c r="U27" s="1">
        <f t="shared" si="13"/>
        <v>11.648013088320001</v>
      </c>
      <c r="V27" s="1">
        <f t="shared" si="14"/>
        <v>541416904.66079998</v>
      </c>
      <c r="X27" s="1">
        <f t="shared" si="15"/>
        <v>42.341885712</v>
      </c>
      <c r="Y27" s="1">
        <f t="shared" si="16"/>
        <v>45.050871850686796</v>
      </c>
      <c r="Z27" s="1">
        <f t="shared" si="17"/>
        <v>17.360173141920001</v>
      </c>
      <c r="AA27" s="1">
        <f t="shared" si="18"/>
        <v>64.829303394890701</v>
      </c>
      <c r="AB27" s="1">
        <f t="shared" si="19"/>
        <v>24.981712570079999</v>
      </c>
      <c r="AC27" s="1">
        <f t="shared" si="20"/>
        <v>1071779490.1876301</v>
      </c>
      <c r="AE27" s="1">
        <f t="shared" si="21"/>
        <v>202.895910392601</v>
      </c>
      <c r="AF27" s="1">
        <f t="shared" si="24"/>
        <v>2077.1491104000002</v>
      </c>
      <c r="AG27" s="1">
        <f t="shared" si="22"/>
        <v>1455253172.10763</v>
      </c>
      <c r="AH27" s="1">
        <v>606485628.325634</v>
      </c>
      <c r="AI27" s="1">
        <f t="shared" si="23"/>
        <v>848767543.78199506</v>
      </c>
    </row>
    <row r="28" spans="1:35">
      <c r="A28" s="1">
        <v>27</v>
      </c>
      <c r="B28" s="2">
        <v>22.683589999999999</v>
      </c>
      <c r="C28" s="2">
        <v>19.572669999999999</v>
      </c>
      <c r="D28" s="1">
        <f t="shared" si="0"/>
        <v>32.664369600000001</v>
      </c>
      <c r="E28" s="1">
        <f t="shared" si="1"/>
        <v>28.184644800000001</v>
      </c>
      <c r="F28" s="1">
        <f t="shared" si="2"/>
        <v>60.849014400000002</v>
      </c>
      <c r="I28" s="1">
        <f t="shared" si="3"/>
        <v>12.169802880000001</v>
      </c>
      <c r="J28" s="1">
        <f t="shared" si="4"/>
        <v>7.5040876835446104</v>
      </c>
      <c r="K28" s="1">
        <f t="shared" si="5"/>
        <v>5.4764112960000002</v>
      </c>
      <c r="L28" s="1">
        <f t="shared" si="6"/>
        <v>9.1716627243323092</v>
      </c>
      <c r="M28" s="1">
        <f t="shared" si="7"/>
        <v>6.6933915839999996</v>
      </c>
      <c r="N28" s="1">
        <f t="shared" si="8"/>
        <v>171394098.15190899</v>
      </c>
      <c r="Q28" s="1">
        <f t="shared" si="9"/>
        <v>16.429233887999999</v>
      </c>
      <c r="R28" s="1">
        <f t="shared" si="10"/>
        <v>8.9825662765933796</v>
      </c>
      <c r="S28" s="1">
        <f t="shared" si="11"/>
        <v>7.5574475884799996</v>
      </c>
      <c r="T28" s="1">
        <f t="shared" si="12"/>
        <v>10.544751716000899</v>
      </c>
      <c r="U28" s="1">
        <f t="shared" si="13"/>
        <v>8.8717862995200001</v>
      </c>
      <c r="V28" s="1">
        <f t="shared" si="14"/>
        <v>189790465.64268699</v>
      </c>
      <c r="X28" s="1">
        <f t="shared" si="15"/>
        <v>32.249977631999997</v>
      </c>
      <c r="Y28" s="1">
        <f t="shared" si="16"/>
        <v>14.798228078186099</v>
      </c>
      <c r="Z28" s="1">
        <f t="shared" si="17"/>
        <v>13.22249082912</v>
      </c>
      <c r="AA28" s="1">
        <f t="shared" si="18"/>
        <v>21.295011136902001</v>
      </c>
      <c r="AB28" s="1">
        <f t="shared" si="19"/>
        <v>19.027486802879999</v>
      </c>
      <c r="AC28" s="1">
        <f t="shared" si="20"/>
        <v>352056168.81034499</v>
      </c>
      <c r="AE28" s="1">
        <f t="shared" si="21"/>
        <v>72.2963076155594</v>
      </c>
      <c r="AF28" s="1">
        <f t="shared" si="24"/>
        <v>1582.0743743999999</v>
      </c>
      <c r="AG28" s="1">
        <f t="shared" si="22"/>
        <v>523450266.96225399</v>
      </c>
      <c r="AH28" s="1">
        <v>295064403.70321798</v>
      </c>
      <c r="AI28" s="1">
        <f t="shared" si="23"/>
        <v>228385863.259036</v>
      </c>
    </row>
    <row r="29" spans="1:35">
      <c r="A29" s="1">
        <v>28</v>
      </c>
      <c r="B29" s="2">
        <v>21.949259999999999</v>
      </c>
      <c r="C29" s="2">
        <v>27.576830000000001</v>
      </c>
      <c r="D29" s="1">
        <f t="shared" si="0"/>
        <v>31.6069344</v>
      </c>
      <c r="E29" s="1">
        <f t="shared" si="1"/>
        <v>39.710635199999999</v>
      </c>
      <c r="F29" s="1">
        <f t="shared" si="2"/>
        <v>71.317569599999999</v>
      </c>
      <c r="I29" s="1">
        <f t="shared" si="3"/>
        <v>14.263513919999999</v>
      </c>
      <c r="J29" s="1">
        <f t="shared" si="4"/>
        <v>6.0402675338701997</v>
      </c>
      <c r="K29" s="1">
        <f t="shared" si="5"/>
        <v>6.4185812640000002</v>
      </c>
      <c r="L29" s="1">
        <f t="shared" si="6"/>
        <v>7.3825492080635797</v>
      </c>
      <c r="M29" s="1">
        <f t="shared" si="7"/>
        <v>7.8449326560000001</v>
      </c>
      <c r="N29" s="1">
        <f t="shared" si="8"/>
        <v>137960302.46743101</v>
      </c>
      <c r="Q29" s="1">
        <f t="shared" si="9"/>
        <v>19.255743792000001</v>
      </c>
      <c r="R29" s="1">
        <f t="shared" si="10"/>
        <v>9.1670293861009409</v>
      </c>
      <c r="S29" s="1">
        <f t="shared" si="11"/>
        <v>8.8576421443199997</v>
      </c>
      <c r="T29" s="1">
        <f t="shared" si="12"/>
        <v>10.7612953662924</v>
      </c>
      <c r="U29" s="1">
        <f t="shared" si="13"/>
        <v>10.398101647680001</v>
      </c>
      <c r="V29" s="1">
        <f t="shared" si="14"/>
        <v>193687941.97287199</v>
      </c>
      <c r="X29" s="1">
        <f t="shared" si="15"/>
        <v>37.798311888000001</v>
      </c>
      <c r="Y29" s="1">
        <f t="shared" si="16"/>
        <v>20.511142774517602</v>
      </c>
      <c r="Z29" s="1">
        <f t="shared" si="17"/>
        <v>15.497307874080001</v>
      </c>
      <c r="AA29" s="1">
        <f t="shared" si="18"/>
        <v>29.516034724305801</v>
      </c>
      <c r="AB29" s="1">
        <f t="shared" si="19"/>
        <v>22.30100401392</v>
      </c>
      <c r="AC29" s="1">
        <f t="shared" si="20"/>
        <v>487968850.38980597</v>
      </c>
      <c r="AE29" s="1">
        <f t="shared" si="21"/>
        <v>83.378318993150501</v>
      </c>
      <c r="AF29" s="1">
        <f t="shared" si="24"/>
        <v>1854.2568096</v>
      </c>
      <c r="AG29" s="1">
        <f t="shared" si="22"/>
        <v>625929152.85723698</v>
      </c>
      <c r="AH29" s="1">
        <v>273227184.396245</v>
      </c>
      <c r="AI29" s="1">
        <f t="shared" si="23"/>
        <v>352701968.46099198</v>
      </c>
    </row>
    <row r="30" spans="1:35">
      <c r="A30" s="1">
        <v>29</v>
      </c>
      <c r="B30" s="2">
        <v>15.97711</v>
      </c>
      <c r="C30" s="2">
        <v>30.367280000000001</v>
      </c>
      <c r="D30" s="1">
        <f t="shared" si="0"/>
        <v>23.007038399999999</v>
      </c>
      <c r="E30" s="1">
        <f t="shared" si="1"/>
        <v>43.728883199999999</v>
      </c>
      <c r="F30" s="1">
        <f t="shared" si="2"/>
        <v>66.735921599999998</v>
      </c>
      <c r="I30" s="1">
        <f t="shared" si="3"/>
        <v>13.34718432</v>
      </c>
      <c r="J30" s="1">
        <f t="shared" si="4"/>
        <v>5.1682375691784497</v>
      </c>
      <c r="K30" s="1">
        <f t="shared" si="5"/>
        <v>6.0062329439999997</v>
      </c>
      <c r="L30" s="1">
        <f t="shared" si="6"/>
        <v>6.3167348067736597</v>
      </c>
      <c r="M30" s="1">
        <f t="shared" si="7"/>
        <v>7.3409513759999996</v>
      </c>
      <c r="N30" s="1">
        <f t="shared" si="8"/>
        <v>118043052.60806</v>
      </c>
      <c r="Q30" s="1">
        <f t="shared" si="9"/>
        <v>18.018698831999998</v>
      </c>
      <c r="R30" s="1">
        <f t="shared" si="10"/>
        <v>15.5202671684489</v>
      </c>
      <c r="S30" s="1">
        <f t="shared" si="11"/>
        <v>8.2886014627200009</v>
      </c>
      <c r="T30" s="1">
        <f t="shared" si="12"/>
        <v>18.2194440673095</v>
      </c>
      <c r="U30" s="1">
        <f t="shared" si="13"/>
        <v>9.7300973692799992</v>
      </c>
      <c r="V30" s="1">
        <f t="shared" si="14"/>
        <v>327923963.163445</v>
      </c>
      <c r="X30" s="1">
        <f t="shared" si="15"/>
        <v>35.370038448000003</v>
      </c>
      <c r="Y30" s="1">
        <f t="shared" si="16"/>
        <v>17.616899149951902</v>
      </c>
      <c r="Z30" s="1">
        <f t="shared" si="17"/>
        <v>14.50171576368</v>
      </c>
      <c r="AA30" s="1">
        <f t="shared" si="18"/>
        <v>25.351147557247899</v>
      </c>
      <c r="AB30" s="1">
        <f t="shared" si="19"/>
        <v>20.868322684319999</v>
      </c>
      <c r="AC30" s="1">
        <f t="shared" si="20"/>
        <v>419113557.939601</v>
      </c>
      <c r="AE30" s="1">
        <f t="shared" si="21"/>
        <v>88.192730318910293</v>
      </c>
      <c r="AF30" s="1">
        <f t="shared" si="24"/>
        <v>1735.1339616</v>
      </c>
      <c r="AG30" s="1">
        <f t="shared" si="22"/>
        <v>537156610.54766095</v>
      </c>
      <c r="AH30" s="1">
        <v>261746082.659107</v>
      </c>
      <c r="AI30" s="1">
        <f t="shared" si="23"/>
        <v>275410527.88855398</v>
      </c>
    </row>
    <row r="31" spans="1:35">
      <c r="A31" s="1">
        <v>30</v>
      </c>
      <c r="B31" s="2">
        <v>23</v>
      </c>
      <c r="C31" s="2">
        <v>35.125709999999998</v>
      </c>
      <c r="D31" s="1">
        <f t="shared" si="0"/>
        <v>33.119999999999997</v>
      </c>
      <c r="E31" s="1">
        <f t="shared" si="1"/>
        <v>50.581022400000002</v>
      </c>
      <c r="F31" s="1">
        <f t="shared" si="2"/>
        <v>83.701022399999999</v>
      </c>
      <c r="I31" s="1">
        <f t="shared" si="3"/>
        <v>16.740204479999999</v>
      </c>
      <c r="J31" s="1">
        <f t="shared" si="4"/>
        <v>7.4562237301224501</v>
      </c>
      <c r="K31" s="1">
        <f t="shared" si="5"/>
        <v>7.5330920160000003</v>
      </c>
      <c r="L31" s="1">
        <f t="shared" si="6"/>
        <v>9.1131623368163304</v>
      </c>
      <c r="M31" s="1">
        <f t="shared" si="7"/>
        <v>9.2071124639999997</v>
      </c>
      <c r="N31" s="1">
        <f t="shared" si="8"/>
        <v>170300880.76470199</v>
      </c>
      <c r="Q31" s="1">
        <f t="shared" si="9"/>
        <v>22.599276048</v>
      </c>
      <c r="R31" s="1">
        <f t="shared" si="10"/>
        <v>13.065633250139401</v>
      </c>
      <c r="S31" s="1">
        <f t="shared" si="11"/>
        <v>10.39566698208</v>
      </c>
      <c r="T31" s="1">
        <f t="shared" si="12"/>
        <v>15.337917293641899</v>
      </c>
      <c r="U31" s="1">
        <f t="shared" si="13"/>
        <v>12.20360906592</v>
      </c>
      <c r="V31" s="1">
        <f t="shared" si="14"/>
        <v>276060598.06340301</v>
      </c>
      <c r="X31" s="1">
        <f t="shared" si="15"/>
        <v>44.361541871999997</v>
      </c>
      <c r="Y31" s="1">
        <f t="shared" si="16"/>
        <v>14.7077679873156</v>
      </c>
      <c r="Z31" s="1">
        <f t="shared" si="17"/>
        <v>18.188232167519999</v>
      </c>
      <c r="AA31" s="1">
        <f t="shared" si="18"/>
        <v>21.164836859795599</v>
      </c>
      <c r="AB31" s="1">
        <f t="shared" si="19"/>
        <v>26.173309704480001</v>
      </c>
      <c r="AC31" s="1">
        <f t="shared" si="20"/>
        <v>349904084.59770298</v>
      </c>
      <c r="AE31" s="1">
        <f t="shared" si="21"/>
        <v>80.845541457831203</v>
      </c>
      <c r="AF31" s="1">
        <f t="shared" si="24"/>
        <v>2176.2265824000001</v>
      </c>
      <c r="AG31" s="1">
        <f t="shared" si="22"/>
        <v>520204965.362405</v>
      </c>
      <c r="AH31" s="1">
        <v>244111045.64678299</v>
      </c>
      <c r="AI31" s="1">
        <f t="shared" si="23"/>
        <v>276093919.71562201</v>
      </c>
    </row>
    <row r="32" spans="1:35">
      <c r="AE32" s="1">
        <f>SUM(AE2:AE31)</f>
        <v>3469.3998555765902</v>
      </c>
      <c r="AF32" s="1">
        <f>SUM(AF2:AF31)</f>
        <v>63751.755599999997</v>
      </c>
      <c r="AG32" s="4">
        <f>SUM(AG2:AG31)</f>
        <v>24372955196.153801</v>
      </c>
    </row>
    <row r="33" spans="9:26">
      <c r="Z33" s="1">
        <f>SUM(Z2:Z31)</f>
        <v>502.58681614800003</v>
      </c>
    </row>
    <row r="35" spans="9:26">
      <c r="I35" s="1">
        <v>2.3350746268656701</v>
      </c>
      <c r="J35" s="3">
        <v>24000000</v>
      </c>
      <c r="Q35" s="1">
        <v>2.58250950570342</v>
      </c>
      <c r="R35" s="3">
        <v>25100000</v>
      </c>
      <c r="X35" s="1">
        <v>2.5950704225352101</v>
      </c>
      <c r="Y35" s="3">
        <v>25312512</v>
      </c>
    </row>
    <row r="36" spans="9:26">
      <c r="I36" s="1">
        <v>1.3702564102564101</v>
      </c>
      <c r="J36" s="3">
        <f>J35*I36/I35</f>
        <v>14083555.817784</v>
      </c>
      <c r="Q36" s="1">
        <v>1.1885714285714299</v>
      </c>
      <c r="R36" s="3">
        <f>R35*Q36/Q35</f>
        <v>11551997.307757</v>
      </c>
      <c r="X36" s="1">
        <v>1.1191709844559601</v>
      </c>
      <c r="Y36" s="3">
        <f>Y35*X36/X35</f>
        <v>10916477.9221744</v>
      </c>
    </row>
    <row r="37" spans="9:26">
      <c r="I37" s="1">
        <v>1.9410596026489999</v>
      </c>
      <c r="J37" s="3">
        <f>J35*I37/I35</f>
        <v>19950296.203640699</v>
      </c>
      <c r="Q37" s="1">
        <v>1.0349288486416599</v>
      </c>
      <c r="R37" s="3">
        <f>R35*Q37/Q35</f>
        <v>10058709.9654567</v>
      </c>
      <c r="X37" s="1">
        <v>1.3235294117647001</v>
      </c>
      <c r="Y37" s="3">
        <f>Y35*X37/X35</f>
        <v>12909805.385904601</v>
      </c>
    </row>
    <row r="38" spans="9:26">
      <c r="I38" s="1">
        <v>1.8604790419161601</v>
      </c>
      <c r="J38" s="3">
        <f>J35*I38/I35</f>
        <v>19122085.646540001</v>
      </c>
      <c r="Q38" s="1">
        <v>1.8724832214765099</v>
      </c>
      <c r="R38" s="3">
        <f>R35*Q38/Q35</f>
        <v>18199092.2996656</v>
      </c>
      <c r="X38" s="1">
        <v>1.2148148148148099</v>
      </c>
      <c r="Y38" s="3">
        <f>Y35*X38/X35</f>
        <v>11849395.0340419</v>
      </c>
    </row>
    <row r="39" spans="9:26">
      <c r="I39" s="1">
        <v>1.9897959183673399</v>
      </c>
      <c r="J39" s="3">
        <f>J35*I39/I35</f>
        <v>20451210.2060383</v>
      </c>
      <c r="Q39" s="1">
        <v>1.2568345323740999</v>
      </c>
      <c r="R39" s="3">
        <f>R35*Q39/Q35</f>
        <v>12215462.012015801</v>
      </c>
      <c r="X39" s="1">
        <v>0.80864197530864201</v>
      </c>
      <c r="Y39" s="3">
        <f>Y35*X39/X35</f>
        <v>7887554.62123725</v>
      </c>
    </row>
    <row r="40" spans="9:26">
      <c r="I40" s="1">
        <v>2.3350746268656701</v>
      </c>
      <c r="J40" s="3">
        <v>24000000</v>
      </c>
      <c r="Q40" s="1">
        <v>2.58250950570342</v>
      </c>
      <c r="R40" s="3">
        <v>25100000</v>
      </c>
      <c r="X40" s="1">
        <v>2.5950704225352101</v>
      </c>
      <c r="Y40" s="3">
        <v>25312512</v>
      </c>
    </row>
    <row r="41" spans="9:26">
      <c r="I41" s="1">
        <v>1.3702564102564101</v>
      </c>
      <c r="J41" s="3">
        <f>J40*I41/I40</f>
        <v>14083555.817784</v>
      </c>
      <c r="Q41" s="1">
        <v>1.1885714285714299</v>
      </c>
      <c r="R41" s="3">
        <f>R40*Q41/Q40</f>
        <v>11551997.307757</v>
      </c>
      <c r="X41" s="1">
        <v>1.1191709844559601</v>
      </c>
      <c r="Y41" s="3">
        <f>Y40*X41/X40</f>
        <v>10916477.9221744</v>
      </c>
    </row>
    <row r="42" spans="9:26">
      <c r="I42" s="1">
        <v>0.94105960264900701</v>
      </c>
      <c r="J42" s="3">
        <f>J40*I42/I40</f>
        <v>9672252.1000933498</v>
      </c>
      <c r="Q42" s="1">
        <v>1.0349288486416599</v>
      </c>
      <c r="R42" s="3">
        <f>R40*Q42/Q40</f>
        <v>10058709.9654567</v>
      </c>
      <c r="X42" s="1">
        <v>1.3235294117647001</v>
      </c>
      <c r="Y42" s="3">
        <f>Y40*X42/X40</f>
        <v>12909805.385904601</v>
      </c>
    </row>
    <row r="43" spans="9:26">
      <c r="I43" s="1">
        <v>0.86047904191616797</v>
      </c>
      <c r="J43" s="3">
        <f>J40*I43/I40</f>
        <v>8844041.5429926403</v>
      </c>
      <c r="Q43" s="1">
        <v>1.8724832214765099</v>
      </c>
      <c r="R43" s="3">
        <f>R40*Q43/Q40</f>
        <v>18199092.2996656</v>
      </c>
      <c r="X43" s="1">
        <v>1.2148148148148099</v>
      </c>
      <c r="Y43" s="3">
        <f>Y40*X43/X40</f>
        <v>11849395.0340419</v>
      </c>
    </row>
    <row r="44" spans="9:26">
      <c r="I44" s="1">
        <v>0.98979591836734704</v>
      </c>
      <c r="J44" s="3">
        <f>J40*I44/I40</f>
        <v>10173166.1024909</v>
      </c>
      <c r="Q44" s="1">
        <v>1.2568345323740999</v>
      </c>
      <c r="R44" s="3">
        <f>R40*Q44/Q40</f>
        <v>12215462.012015801</v>
      </c>
      <c r="X44" s="1">
        <v>0.80864197530864201</v>
      </c>
      <c r="Y44" s="3">
        <f>Y40*X44/X40</f>
        <v>7887554.62123725</v>
      </c>
    </row>
    <row r="45" spans="9:26">
      <c r="I45" s="1">
        <v>2.3350746268656701</v>
      </c>
      <c r="J45" s="3">
        <v>24000000</v>
      </c>
      <c r="Q45" s="1">
        <v>2.58250950570342</v>
      </c>
      <c r="R45" s="3">
        <v>25100000</v>
      </c>
      <c r="X45" s="1">
        <v>2.5950704225352101</v>
      </c>
      <c r="Y45" s="3">
        <v>25312512</v>
      </c>
    </row>
    <row r="46" spans="9:26">
      <c r="I46" s="1">
        <v>1.3702564102564101</v>
      </c>
      <c r="J46" s="3">
        <f>J45*I46/I45</f>
        <v>14083555.817784</v>
      </c>
      <c r="Q46" s="1">
        <v>1.1885714285714299</v>
      </c>
      <c r="R46" s="3">
        <f>R45*Q46/Q45</f>
        <v>11551997.307757</v>
      </c>
      <c r="X46" s="1">
        <v>1.1191709844559601</v>
      </c>
      <c r="Y46" s="3">
        <f>Y45*X46/X45</f>
        <v>10916477.9221744</v>
      </c>
    </row>
    <row r="47" spans="9:26">
      <c r="I47" s="1">
        <v>0.94105960264900701</v>
      </c>
      <c r="J47" s="3">
        <f>J45*I47/I45</f>
        <v>9672252.1000933498</v>
      </c>
      <c r="Q47" s="1">
        <v>1.0349288486416599</v>
      </c>
      <c r="R47" s="3">
        <f>R45*Q47/Q45</f>
        <v>10058709.9654567</v>
      </c>
      <c r="X47" s="1">
        <v>1.3235294117647001</v>
      </c>
      <c r="Y47" s="3">
        <f>Y45*X47/X45</f>
        <v>12909805.385904601</v>
      </c>
    </row>
    <row r="48" spans="9:26">
      <c r="I48" s="1">
        <v>1.8604790419161601</v>
      </c>
      <c r="J48" s="3">
        <f>J45*I48/I45</f>
        <v>19122085.646540001</v>
      </c>
      <c r="Q48" s="1">
        <v>1.8724832214765099</v>
      </c>
      <c r="R48" s="3">
        <f>R45*Q48/Q45</f>
        <v>18199092.2996656</v>
      </c>
      <c r="X48" s="1">
        <v>1.2148148148148099</v>
      </c>
      <c r="Y48" s="3">
        <f>Y45*X48/X45</f>
        <v>11849395.0340419</v>
      </c>
    </row>
    <row r="49" spans="9:25">
      <c r="I49" s="1">
        <v>0.98979591836734704</v>
      </c>
      <c r="J49" s="3">
        <f>J45*I49/I45</f>
        <v>10173166.1024909</v>
      </c>
      <c r="Q49" s="1">
        <v>1.2568345323740999</v>
      </c>
      <c r="R49" s="3">
        <f>R45*Q49/Q45</f>
        <v>12215462.012015801</v>
      </c>
      <c r="X49" s="1">
        <v>0.80864197530864201</v>
      </c>
      <c r="Y49" s="3">
        <f>Y45*X49/X45</f>
        <v>7887554.62123725</v>
      </c>
    </row>
    <row r="50" spans="9:25">
      <c r="I50" s="1">
        <v>2.3350746268656701</v>
      </c>
      <c r="J50" s="3">
        <v>24000000</v>
      </c>
      <c r="Q50" s="1">
        <v>2.58250950570342</v>
      </c>
      <c r="R50" s="3">
        <v>25100000</v>
      </c>
      <c r="X50" s="1">
        <v>2.5950704225352101</v>
      </c>
      <c r="Y50" s="3">
        <v>25312512</v>
      </c>
    </row>
    <row r="51" spans="9:25">
      <c r="I51" s="1">
        <v>1.3702564102564101</v>
      </c>
      <c r="J51" s="3">
        <f>J50*I51/I50</f>
        <v>14083555.817784</v>
      </c>
      <c r="Q51" s="1">
        <v>1.1885714285714299</v>
      </c>
      <c r="R51" s="3">
        <f>R50*Q51/Q50</f>
        <v>11551997.307757</v>
      </c>
      <c r="X51" s="1">
        <v>1.1191709844559601</v>
      </c>
      <c r="Y51" s="3">
        <f>Y50*X51/X50</f>
        <v>10916477.9221744</v>
      </c>
    </row>
    <row r="52" spans="9:25">
      <c r="I52" s="1">
        <v>0.94105960264900701</v>
      </c>
      <c r="J52" s="3">
        <f>J50*I52/I50</f>
        <v>9672252.1000933498</v>
      </c>
      <c r="Q52" s="1">
        <v>1.0349288486416599</v>
      </c>
      <c r="R52" s="3">
        <f>R50*Q52/Q50</f>
        <v>10058709.9654567</v>
      </c>
      <c r="X52" s="1">
        <v>1.3235294117647001</v>
      </c>
      <c r="Y52" s="3">
        <f>Y50*X52/X50</f>
        <v>12909805.385904601</v>
      </c>
    </row>
    <row r="53" spans="9:25">
      <c r="I53" s="1">
        <v>0.86047904191616797</v>
      </c>
      <c r="J53" s="3">
        <f>J50*I53/I50</f>
        <v>8844041.5429926403</v>
      </c>
      <c r="Q53" s="1">
        <v>1.8724832214765099</v>
      </c>
      <c r="R53" s="3">
        <f>R50*Q53/Q50</f>
        <v>18199092.2996656</v>
      </c>
      <c r="X53" s="1">
        <v>1.2148148148148099</v>
      </c>
      <c r="Y53" s="3">
        <f>Y50*X53/X50</f>
        <v>11849395.0340419</v>
      </c>
    </row>
    <row r="54" spans="9:25">
      <c r="I54" s="1">
        <v>1.9897959183673399</v>
      </c>
      <c r="J54" s="3">
        <f>J50*I54/I50</f>
        <v>20451210.2060383</v>
      </c>
      <c r="Q54" s="1">
        <v>1.2568345323740999</v>
      </c>
      <c r="R54" s="3">
        <f>R50*Q54/Q50</f>
        <v>12215462.012015801</v>
      </c>
      <c r="X54" s="1">
        <v>0.80864197530864201</v>
      </c>
      <c r="Y54" s="3">
        <f>Y50*X54/X50</f>
        <v>7887554.62123725</v>
      </c>
    </row>
    <row r="55" spans="9:25">
      <c r="I55" s="1">
        <v>2.3350746268656701</v>
      </c>
      <c r="J55" s="3">
        <v>24000000</v>
      </c>
      <c r="Q55" s="1">
        <v>2.58250950570342</v>
      </c>
      <c r="R55" s="3">
        <v>25100000</v>
      </c>
      <c r="X55" s="1">
        <v>2.5950704225352101</v>
      </c>
      <c r="Y55" s="3">
        <v>25312512</v>
      </c>
    </row>
    <row r="56" spans="9:25">
      <c r="I56" s="1">
        <v>1.3702564102564101</v>
      </c>
      <c r="J56" s="3">
        <f>J55*I56/I55</f>
        <v>14083555.817784</v>
      </c>
      <c r="Q56" s="1">
        <v>1.1885714285714299</v>
      </c>
      <c r="R56" s="3">
        <f>R55*Q56/Q55</f>
        <v>11551997.307757</v>
      </c>
      <c r="X56" s="1">
        <v>1.1191709844559601</v>
      </c>
      <c r="Y56" s="3">
        <f>Y55*X56/X55</f>
        <v>10916477.9221744</v>
      </c>
    </row>
    <row r="57" spans="9:25">
      <c r="I57" s="1">
        <v>0.94105960264900701</v>
      </c>
      <c r="J57" s="3">
        <f>J55*I57/I55</f>
        <v>9672252.1000933498</v>
      </c>
      <c r="Q57" s="1">
        <v>1.0349288486416599</v>
      </c>
      <c r="R57" s="3">
        <f>R55*Q57/Q55</f>
        <v>10058709.9654567</v>
      </c>
      <c r="X57" s="1">
        <v>1.3235294117647001</v>
      </c>
      <c r="Y57" s="3">
        <f>Y55*X57/X55</f>
        <v>12909805.385904601</v>
      </c>
    </row>
    <row r="58" spans="9:25">
      <c r="I58" s="1">
        <v>0.86047904191616797</v>
      </c>
      <c r="J58" s="3">
        <f>J55*I58/I55</f>
        <v>8844041.5429926403</v>
      </c>
      <c r="Q58" s="1">
        <v>1.8724832214765099</v>
      </c>
      <c r="R58" s="3">
        <f>R55*Q58/Q55</f>
        <v>18199092.2996656</v>
      </c>
      <c r="X58" s="1">
        <v>1.2148148148148099</v>
      </c>
      <c r="Y58" s="3">
        <f>Y55*X58/X55</f>
        <v>11849395.0340419</v>
      </c>
    </row>
    <row r="59" spans="9:25">
      <c r="I59" s="1">
        <v>1.9897959183673399</v>
      </c>
      <c r="J59" s="3">
        <f>J55*I59/I55</f>
        <v>20451210.2060383</v>
      </c>
      <c r="Q59" s="1">
        <v>1.2568345323740999</v>
      </c>
      <c r="R59" s="3">
        <f>R55*Q59/Q55</f>
        <v>12215462.012015801</v>
      </c>
      <c r="X59" s="1">
        <v>0.80864197530864201</v>
      </c>
      <c r="Y59" s="3">
        <f>Y55*X59/X55</f>
        <v>7887554.62123725</v>
      </c>
    </row>
    <row r="60" spans="9:25">
      <c r="I60" s="1">
        <v>2.3350746268656701</v>
      </c>
      <c r="J60" s="3">
        <v>24000000</v>
      </c>
      <c r="Q60" s="1">
        <v>2.58250950570342</v>
      </c>
      <c r="R60" s="3">
        <v>25100000</v>
      </c>
      <c r="X60" s="1">
        <v>2.5950704225352101</v>
      </c>
      <c r="Y60" s="3">
        <v>25312512</v>
      </c>
    </row>
    <row r="61" spans="9:25">
      <c r="I61" s="1">
        <v>1.3702564102564101</v>
      </c>
      <c r="J61" s="3">
        <f>J60*I61/I60</f>
        <v>14083555.817784</v>
      </c>
      <c r="Q61" s="1">
        <v>1.1885714285714299</v>
      </c>
      <c r="R61" s="3">
        <f>R60*Q61/Q60</f>
        <v>11551997.307757</v>
      </c>
      <c r="X61" s="1">
        <v>1.1191709844559601</v>
      </c>
      <c r="Y61" s="3">
        <f>Y60*X61/X60</f>
        <v>10916477.9221744</v>
      </c>
    </row>
    <row r="62" spans="9:25">
      <c r="I62" s="1">
        <v>0.94105960264900701</v>
      </c>
      <c r="J62" s="3">
        <f>J60*I62/I60</f>
        <v>9672252.1000933498</v>
      </c>
      <c r="Q62" s="1">
        <v>1.0349288486416599</v>
      </c>
      <c r="R62" s="3">
        <f>R60*Q62/Q60</f>
        <v>10058709.9654567</v>
      </c>
      <c r="X62" s="1">
        <v>1.3235294117647001</v>
      </c>
      <c r="Y62" s="3">
        <f>Y60*X62/X60</f>
        <v>12909805.385904601</v>
      </c>
    </row>
    <row r="63" spans="9:25">
      <c r="I63" s="1">
        <v>0.86047904191616797</v>
      </c>
      <c r="J63" s="3">
        <f>J60*I63/I60</f>
        <v>8844041.5429926403</v>
      </c>
      <c r="Q63" s="1">
        <v>1.8724832214765099</v>
      </c>
      <c r="R63" s="3">
        <f>R60*Q63/Q60</f>
        <v>18199092.2996656</v>
      </c>
      <c r="X63" s="1">
        <v>1.2148148148148099</v>
      </c>
      <c r="Y63" s="3">
        <f>Y60*X63/X60</f>
        <v>11849395.0340419</v>
      </c>
    </row>
    <row r="64" spans="9:25">
      <c r="I64" s="1">
        <v>0.98979591836734704</v>
      </c>
      <c r="J64" s="3">
        <f>J60*I64/I60</f>
        <v>10173166.1024909</v>
      </c>
      <c r="Q64" s="1">
        <v>1.2568345323740999</v>
      </c>
      <c r="R64" s="3">
        <f>R60*Q64/Q60</f>
        <v>12215462.012015801</v>
      </c>
      <c r="X64" s="1">
        <v>0.80864197530864201</v>
      </c>
      <c r="Y64" s="3">
        <f>Y60*X64/X60</f>
        <v>7887554.62123725</v>
      </c>
    </row>
  </sheetData>
  <phoneticPr fontId="9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7432-3FDF-43D1-8A62-9CF23A556887}">
  <dimension ref="A1:O12"/>
  <sheetViews>
    <sheetView tabSelected="1" workbookViewId="0">
      <selection activeCell="N38" sqref="N38"/>
    </sheetView>
  </sheetViews>
  <sheetFormatPr defaultRowHeight="15"/>
  <sheetData>
    <row r="1" spans="1:15">
      <c r="A1" s="17" t="s">
        <v>28</v>
      </c>
      <c r="B1" s="17"/>
      <c r="C1" s="17" t="s">
        <v>27</v>
      </c>
      <c r="D1" s="17"/>
      <c r="E1" s="17" t="s">
        <v>26</v>
      </c>
      <c r="F1" s="17" t="s">
        <v>28</v>
      </c>
      <c r="G1" s="17"/>
      <c r="H1" s="17" t="s">
        <v>27</v>
      </c>
      <c r="I1" s="17"/>
      <c r="J1" s="17" t="s">
        <v>26</v>
      </c>
      <c r="K1" s="17" t="s">
        <v>28</v>
      </c>
      <c r="L1" s="17"/>
      <c r="M1" s="17" t="s">
        <v>27</v>
      </c>
      <c r="N1" s="17"/>
      <c r="O1" s="17"/>
    </row>
    <row r="2" spans="1:15">
      <c r="A2" s="17">
        <v>62.58</v>
      </c>
      <c r="B2" s="17">
        <v>2.3350746268656701</v>
      </c>
      <c r="C2" s="17">
        <v>24000000</v>
      </c>
      <c r="D2" s="17"/>
      <c r="E2" s="17">
        <v>26.3</v>
      </c>
      <c r="F2" s="17">
        <v>67.92</v>
      </c>
      <c r="G2" s="17">
        <f>F2/E2</f>
        <v>2.5825095057034222</v>
      </c>
      <c r="H2" s="17">
        <v>25100000</v>
      </c>
      <c r="I2" s="17"/>
      <c r="J2" s="17">
        <v>28.4</v>
      </c>
      <c r="K2" s="17">
        <v>73.7</v>
      </c>
      <c r="L2" s="17">
        <f>K2/J2</f>
        <v>2.5950704225352115</v>
      </c>
      <c r="M2" s="17">
        <v>25312512</v>
      </c>
      <c r="N2" s="17"/>
      <c r="O2" s="17"/>
    </row>
    <row r="3" spans="1:15">
      <c r="A3" s="17">
        <v>26.72</v>
      </c>
      <c r="B3" s="17">
        <v>1.3702564102564101</v>
      </c>
      <c r="C3" s="17">
        <f>C2*B3/B2</f>
        <v>14083555.817784013</v>
      </c>
      <c r="D3" s="17"/>
      <c r="E3" s="17">
        <v>17.5</v>
      </c>
      <c r="F3" s="17">
        <v>20.8</v>
      </c>
      <c r="G3" s="17">
        <f>F3/E3</f>
        <v>1.1885714285714286</v>
      </c>
      <c r="H3" s="17">
        <f>H2*G3/G2</f>
        <v>11551997.307757026</v>
      </c>
      <c r="I3" s="17"/>
      <c r="J3" s="17">
        <v>19.3</v>
      </c>
      <c r="K3" s="17">
        <v>21.6</v>
      </c>
      <c r="L3" s="17">
        <f>K3/J3</f>
        <v>1.1191709844559585</v>
      </c>
      <c r="M3" s="17">
        <f>M2*L3/L2</f>
        <v>10916477.922174336</v>
      </c>
      <c r="N3" s="17"/>
      <c r="O3" s="17"/>
    </row>
    <row r="4" spans="1:15">
      <c r="A4" s="17">
        <v>14.21</v>
      </c>
      <c r="B4" s="17">
        <v>0.94105960264900701</v>
      </c>
      <c r="C4" s="17">
        <f>C2*B4/B2</f>
        <v>9672252.100093348</v>
      </c>
      <c r="D4" s="17"/>
      <c r="E4" s="17">
        <v>15.46</v>
      </c>
      <c r="F4" s="17">
        <v>16</v>
      </c>
      <c r="G4" s="17">
        <f>F4/E4</f>
        <v>1.0349288486416559</v>
      </c>
      <c r="H4" s="17">
        <f>H2*G4/G2</f>
        <v>10058709.965456659</v>
      </c>
      <c r="I4" s="17"/>
      <c r="J4" s="17">
        <v>17</v>
      </c>
      <c r="K4" s="17">
        <v>14</v>
      </c>
      <c r="L4" s="17">
        <f>K4/J4</f>
        <v>0.82352941176470584</v>
      </c>
      <c r="M4" s="17">
        <f>M2*L4/L2</f>
        <v>8032767.7956740353</v>
      </c>
      <c r="N4" s="17"/>
      <c r="O4" s="17"/>
    </row>
    <row r="5" spans="1:15">
      <c r="A5" s="17">
        <v>14.37</v>
      </c>
      <c r="B5" s="17">
        <v>0.86047904191616797</v>
      </c>
      <c r="C5" s="17">
        <f>C2*B5/B2</f>
        <v>8844041.542992644</v>
      </c>
      <c r="D5" s="17"/>
      <c r="E5" s="17">
        <v>14.9</v>
      </c>
      <c r="F5" s="17">
        <v>13</v>
      </c>
      <c r="G5" s="17">
        <f>F5/E5</f>
        <v>0.87248322147651003</v>
      </c>
      <c r="H5" s="17">
        <f>H2*G5/G2</f>
        <v>8479863.7955431174</v>
      </c>
      <c r="I5" s="17"/>
      <c r="J5" s="17">
        <v>16.2</v>
      </c>
      <c r="K5" s="17">
        <v>13.2</v>
      </c>
      <c r="L5" s="17">
        <f>K5/J5</f>
        <v>0.81481481481481477</v>
      </c>
      <c r="M5" s="17">
        <f>M2*L5/L2</f>
        <v>7947764.9618573785</v>
      </c>
      <c r="N5" s="17"/>
      <c r="O5" s="17"/>
    </row>
    <row r="6" spans="1:15">
      <c r="A6" s="17">
        <v>16.489999999999998</v>
      </c>
      <c r="B6" s="17">
        <v>0.98979591836734704</v>
      </c>
      <c r="C6" s="17">
        <f>C2*B6/B2</f>
        <v>10173166.102490861</v>
      </c>
      <c r="D6" s="17"/>
      <c r="E6" s="17">
        <v>13.9</v>
      </c>
      <c r="F6" s="17">
        <v>13.3</v>
      </c>
      <c r="G6" s="17">
        <f>F6/E6</f>
        <v>0.95683453237410077</v>
      </c>
      <c r="H6" s="17">
        <f>H2*G6/G2</f>
        <v>9299693.4607790802</v>
      </c>
      <c r="I6" s="17"/>
      <c r="J6" s="17">
        <v>16.2</v>
      </c>
      <c r="K6" s="17">
        <v>13.1</v>
      </c>
      <c r="L6" s="17">
        <f>K6/J6</f>
        <v>0.80864197530864201</v>
      </c>
      <c r="M6" s="17">
        <f>M2*L6/L2</f>
        <v>7887554.6212372482</v>
      </c>
      <c r="N6" s="17"/>
      <c r="O6" s="17"/>
    </row>
    <row r="7" spans="1:1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</row>
    <row r="8" spans="1:1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</row>
    <row r="10" spans="1:1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</row>
    <row r="11" spans="1:15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</row>
    <row r="12" spans="1:1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Sheet1 (2)</vt:lpstr>
      <vt:lpstr>Sheet2 (2)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CHEN, Zhaojie [Student]</cp:lastModifiedBy>
  <dcterms:created xsi:type="dcterms:W3CDTF">2015-01-15T16:55:00Z</dcterms:created>
  <dcterms:modified xsi:type="dcterms:W3CDTF">2024-03-25T02:29:42Z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E3501E3466B543B7A203ABD9B75421B2_12</vt:lpwstr>
  </property>
  <property fmtid="{D5CDD505-2E9C-101B-9397-08002B2CF9AE}" pid="3" name="KSOProductBuildVer">
    <vt:lpwstr>2052-12.1.0.16120</vt:lpwstr>
  </property>
</Properties>
</file>